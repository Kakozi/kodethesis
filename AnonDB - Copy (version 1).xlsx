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zy Abror\OneDrive - Institut Teknologi Bandung\Karirku\UNSW\Thesis\Coding\"/>
    </mc:Choice>
  </mc:AlternateContent>
  <xr:revisionPtr revIDLastSave="0" documentId="13_ncr:1_{E6C75C15-F98D-4434-9488-DD39483DA3A6}" xr6:coauthVersionLast="47" xr6:coauthVersionMax="47" xr10:uidLastSave="{00000000-0000-0000-0000-000000000000}"/>
  <bookViews>
    <workbookView xWindow="-110" yWindow="-110" windowWidth="19420" windowHeight="11500" xr2:uid="{4A3E23BD-2751-4547-A1AD-BE9365DBC167}"/>
  </bookViews>
  <sheets>
    <sheet name="AnonDB - Copy" sheetId="1" r:id="rId1"/>
    <sheet name="Sheet1" sheetId="2" r:id="rId2"/>
  </sheets>
  <definedNames>
    <definedName name="_xlnm._FilterDatabase" localSheetId="0" hidden="1">'AnonDB - Copy'!$A$1:$BQ$617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" i="2"/>
  <c r="B4" i="2" s="1"/>
  <c r="BQ252" i="1"/>
  <c r="BQ268" i="1"/>
  <c r="BQ284" i="1"/>
  <c r="BQ300" i="1"/>
  <c r="BQ316" i="1"/>
  <c r="BQ332" i="1"/>
  <c r="BQ348" i="1"/>
  <c r="BQ364" i="1"/>
  <c r="BQ380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BQ235" i="1" s="1"/>
  <c r="Y236" i="1"/>
  <c r="BQ236" i="1" s="1"/>
  <c r="Y237" i="1"/>
  <c r="BQ237" i="1" s="1"/>
  <c r="Y238" i="1"/>
  <c r="BQ238" i="1" s="1"/>
  <c r="Y239" i="1"/>
  <c r="BQ239" i="1" s="1"/>
  <c r="Y240" i="1"/>
  <c r="BQ240" i="1" s="1"/>
  <c r="Y241" i="1"/>
  <c r="BQ241" i="1" s="1"/>
  <c r="Y242" i="1"/>
  <c r="BQ242" i="1" s="1"/>
  <c r="Y243" i="1"/>
  <c r="BQ243" i="1" s="1"/>
  <c r="Y244" i="1"/>
  <c r="BQ244" i="1" s="1"/>
  <c r="Y245" i="1"/>
  <c r="BQ245" i="1" s="1"/>
  <c r="Y246" i="1"/>
  <c r="BQ246" i="1" s="1"/>
  <c r="Y247" i="1"/>
  <c r="BQ247" i="1" s="1"/>
  <c r="Y248" i="1"/>
  <c r="BQ248" i="1" s="1"/>
  <c r="Y249" i="1"/>
  <c r="BQ249" i="1" s="1"/>
  <c r="Y250" i="1"/>
  <c r="BQ250" i="1" s="1"/>
  <c r="Y251" i="1"/>
  <c r="BQ251" i="1" s="1"/>
  <c r="Y252" i="1"/>
  <c r="Y253" i="1"/>
  <c r="BQ253" i="1" s="1"/>
  <c r="Y254" i="1"/>
  <c r="BQ254" i="1" s="1"/>
  <c r="Y255" i="1"/>
  <c r="BQ255" i="1" s="1"/>
  <c r="Y256" i="1"/>
  <c r="BQ256" i="1" s="1"/>
  <c r="Y257" i="1"/>
  <c r="BQ257" i="1" s="1"/>
  <c r="Y258" i="1"/>
  <c r="BQ258" i="1" s="1"/>
  <c r="Y259" i="1"/>
  <c r="BQ259" i="1" s="1"/>
  <c r="Y260" i="1"/>
  <c r="BQ260" i="1" s="1"/>
  <c r="Y261" i="1"/>
  <c r="BQ261" i="1" s="1"/>
  <c r="Y262" i="1"/>
  <c r="BQ262" i="1" s="1"/>
  <c r="Y263" i="1"/>
  <c r="BQ263" i="1" s="1"/>
  <c r="Y264" i="1"/>
  <c r="BQ264" i="1" s="1"/>
  <c r="Y265" i="1"/>
  <c r="BQ265" i="1" s="1"/>
  <c r="Y266" i="1"/>
  <c r="BQ266" i="1" s="1"/>
  <c r="Y267" i="1"/>
  <c r="BQ267" i="1" s="1"/>
  <c r="Y268" i="1"/>
  <c r="Y269" i="1"/>
  <c r="BQ269" i="1" s="1"/>
  <c r="Y270" i="1"/>
  <c r="BQ270" i="1" s="1"/>
  <c r="Y271" i="1"/>
  <c r="BQ271" i="1" s="1"/>
  <c r="Y272" i="1"/>
  <c r="BQ272" i="1" s="1"/>
  <c r="Y273" i="1"/>
  <c r="BQ273" i="1" s="1"/>
  <c r="Y274" i="1"/>
  <c r="BQ274" i="1" s="1"/>
  <c r="Y275" i="1"/>
  <c r="BQ275" i="1" s="1"/>
  <c r="Y276" i="1"/>
  <c r="BQ276" i="1" s="1"/>
  <c r="Y277" i="1"/>
  <c r="BQ277" i="1" s="1"/>
  <c r="Y278" i="1"/>
  <c r="BQ278" i="1" s="1"/>
  <c r="Y279" i="1"/>
  <c r="BQ279" i="1" s="1"/>
  <c r="Y280" i="1"/>
  <c r="BQ280" i="1" s="1"/>
  <c r="Y281" i="1"/>
  <c r="BQ281" i="1" s="1"/>
  <c r="Y282" i="1"/>
  <c r="BQ282" i="1" s="1"/>
  <c r="Y283" i="1"/>
  <c r="BQ283" i="1" s="1"/>
  <c r="Y284" i="1"/>
  <c r="Y285" i="1"/>
  <c r="BQ285" i="1" s="1"/>
  <c r="Y286" i="1"/>
  <c r="BQ286" i="1" s="1"/>
  <c r="Y287" i="1"/>
  <c r="BQ287" i="1" s="1"/>
  <c r="Y288" i="1"/>
  <c r="BQ288" i="1" s="1"/>
  <c r="Y289" i="1"/>
  <c r="BQ289" i="1" s="1"/>
  <c r="Y290" i="1"/>
  <c r="BQ290" i="1" s="1"/>
  <c r="Y291" i="1"/>
  <c r="BQ291" i="1" s="1"/>
  <c r="Y292" i="1"/>
  <c r="BQ292" i="1" s="1"/>
  <c r="Y293" i="1"/>
  <c r="BQ293" i="1" s="1"/>
  <c r="Y294" i="1"/>
  <c r="BQ294" i="1" s="1"/>
  <c r="Y295" i="1"/>
  <c r="BQ295" i="1" s="1"/>
  <c r="Y296" i="1"/>
  <c r="BQ296" i="1" s="1"/>
  <c r="Y297" i="1"/>
  <c r="BQ297" i="1" s="1"/>
  <c r="Y298" i="1"/>
  <c r="BQ298" i="1" s="1"/>
  <c r="Y299" i="1"/>
  <c r="BQ299" i="1" s="1"/>
  <c r="Y300" i="1"/>
  <c r="Y301" i="1"/>
  <c r="BQ301" i="1" s="1"/>
  <c r="Y302" i="1"/>
  <c r="BQ302" i="1" s="1"/>
  <c r="Y303" i="1"/>
  <c r="BQ303" i="1" s="1"/>
  <c r="Y304" i="1"/>
  <c r="BQ304" i="1" s="1"/>
  <c r="Y305" i="1"/>
  <c r="BQ305" i="1" s="1"/>
  <c r="Y306" i="1"/>
  <c r="BQ306" i="1" s="1"/>
  <c r="Y307" i="1"/>
  <c r="BQ307" i="1" s="1"/>
  <c r="Y308" i="1"/>
  <c r="BQ308" i="1" s="1"/>
  <c r="Y309" i="1"/>
  <c r="BQ309" i="1" s="1"/>
  <c r="Y310" i="1"/>
  <c r="BQ310" i="1" s="1"/>
  <c r="Y311" i="1"/>
  <c r="BQ311" i="1" s="1"/>
  <c r="Y312" i="1"/>
  <c r="BQ312" i="1" s="1"/>
  <c r="Y313" i="1"/>
  <c r="BQ313" i="1" s="1"/>
  <c r="Y314" i="1"/>
  <c r="BQ314" i="1" s="1"/>
  <c r="Y315" i="1"/>
  <c r="BQ315" i="1" s="1"/>
  <c r="Y316" i="1"/>
  <c r="Y317" i="1"/>
  <c r="BQ317" i="1" s="1"/>
  <c r="Y318" i="1"/>
  <c r="BQ318" i="1" s="1"/>
  <c r="Y319" i="1"/>
  <c r="BQ319" i="1" s="1"/>
  <c r="Y320" i="1"/>
  <c r="BQ320" i="1" s="1"/>
  <c r="Y321" i="1"/>
  <c r="BQ321" i="1" s="1"/>
  <c r="Y322" i="1"/>
  <c r="BQ322" i="1" s="1"/>
  <c r="Y323" i="1"/>
  <c r="BQ323" i="1" s="1"/>
  <c r="Y324" i="1"/>
  <c r="BQ324" i="1" s="1"/>
  <c r="Y325" i="1"/>
  <c r="BQ325" i="1" s="1"/>
  <c r="Y326" i="1"/>
  <c r="BQ326" i="1" s="1"/>
  <c r="Y327" i="1"/>
  <c r="BQ327" i="1" s="1"/>
  <c r="Y328" i="1"/>
  <c r="BQ328" i="1" s="1"/>
  <c r="Y329" i="1"/>
  <c r="BQ329" i="1" s="1"/>
  <c r="Y330" i="1"/>
  <c r="BQ330" i="1" s="1"/>
  <c r="Y331" i="1"/>
  <c r="BQ331" i="1" s="1"/>
  <c r="Y332" i="1"/>
  <c r="Y333" i="1"/>
  <c r="BQ333" i="1" s="1"/>
  <c r="Y334" i="1"/>
  <c r="BQ334" i="1" s="1"/>
  <c r="Y335" i="1"/>
  <c r="BQ335" i="1" s="1"/>
  <c r="Y336" i="1"/>
  <c r="BQ336" i="1" s="1"/>
  <c r="Y337" i="1"/>
  <c r="BQ337" i="1" s="1"/>
  <c r="Y338" i="1"/>
  <c r="BQ338" i="1" s="1"/>
  <c r="Y339" i="1"/>
  <c r="BQ339" i="1" s="1"/>
  <c r="Y340" i="1"/>
  <c r="BQ340" i="1" s="1"/>
  <c r="Y341" i="1"/>
  <c r="BQ341" i="1" s="1"/>
  <c r="Y342" i="1"/>
  <c r="BQ342" i="1" s="1"/>
  <c r="Y343" i="1"/>
  <c r="BQ343" i="1" s="1"/>
  <c r="Y344" i="1"/>
  <c r="BQ344" i="1" s="1"/>
  <c r="Y345" i="1"/>
  <c r="BQ345" i="1" s="1"/>
  <c r="Y346" i="1"/>
  <c r="BQ346" i="1" s="1"/>
  <c r="Y347" i="1"/>
  <c r="BQ347" i="1" s="1"/>
  <c r="Y348" i="1"/>
  <c r="Y349" i="1"/>
  <c r="BQ349" i="1" s="1"/>
  <c r="Y350" i="1"/>
  <c r="BQ350" i="1" s="1"/>
  <c r="Y351" i="1"/>
  <c r="BQ351" i="1" s="1"/>
  <c r="Y352" i="1"/>
  <c r="BQ352" i="1" s="1"/>
  <c r="Y353" i="1"/>
  <c r="BQ353" i="1" s="1"/>
  <c r="Y354" i="1"/>
  <c r="BQ354" i="1" s="1"/>
  <c r="Y355" i="1"/>
  <c r="BQ355" i="1" s="1"/>
  <c r="Y356" i="1"/>
  <c r="BQ356" i="1" s="1"/>
  <c r="Y357" i="1"/>
  <c r="BQ357" i="1" s="1"/>
  <c r="Y358" i="1"/>
  <c r="BQ358" i="1" s="1"/>
  <c r="Y359" i="1"/>
  <c r="BQ359" i="1" s="1"/>
  <c r="Y360" i="1"/>
  <c r="BQ360" i="1" s="1"/>
  <c r="Y361" i="1"/>
  <c r="BQ361" i="1" s="1"/>
  <c r="Y362" i="1"/>
  <c r="BQ362" i="1" s="1"/>
  <c r="Y363" i="1"/>
  <c r="BQ363" i="1" s="1"/>
  <c r="Y364" i="1"/>
  <c r="Y365" i="1"/>
  <c r="BQ365" i="1" s="1"/>
  <c r="Y366" i="1"/>
  <c r="BQ366" i="1" s="1"/>
  <c r="Y367" i="1"/>
  <c r="BQ367" i="1" s="1"/>
  <c r="Y368" i="1"/>
  <c r="BQ368" i="1" s="1"/>
  <c r="Y369" i="1"/>
  <c r="BQ369" i="1" s="1"/>
  <c r="Y370" i="1"/>
  <c r="BQ370" i="1" s="1"/>
  <c r="Y371" i="1"/>
  <c r="BQ371" i="1" s="1"/>
  <c r="Y372" i="1"/>
  <c r="BQ372" i="1" s="1"/>
  <c r="Y373" i="1"/>
  <c r="BQ373" i="1" s="1"/>
  <c r="Y374" i="1"/>
  <c r="BQ374" i="1" s="1"/>
  <c r="Y375" i="1"/>
  <c r="BQ375" i="1" s="1"/>
  <c r="Y376" i="1"/>
  <c r="BQ376" i="1" s="1"/>
  <c r="Y377" i="1"/>
  <c r="BQ377" i="1" s="1"/>
  <c r="Y378" i="1"/>
  <c r="BQ378" i="1" s="1"/>
  <c r="Y379" i="1"/>
  <c r="BQ379" i="1" s="1"/>
  <c r="Y380" i="1"/>
  <c r="Y381" i="1"/>
  <c r="BQ381" i="1" s="1"/>
  <c r="Y382" i="1"/>
  <c r="BQ382" i="1" s="1"/>
  <c r="Y383" i="1"/>
  <c r="BQ383" i="1" s="1"/>
  <c r="Y384" i="1"/>
  <c r="BQ384" i="1" s="1"/>
  <c r="Y385" i="1"/>
  <c r="BQ385" i="1" s="1"/>
  <c r="Y386" i="1"/>
  <c r="BQ386" i="1" s="1"/>
  <c r="Y387" i="1"/>
  <c r="Y388" i="1"/>
  <c r="Y389" i="1"/>
  <c r="Y390" i="1"/>
  <c r="BQ390" i="1" s="1"/>
  <c r="Y391" i="1"/>
  <c r="BQ391" i="1" s="1"/>
  <c r="Y392" i="1"/>
  <c r="Y393" i="1"/>
  <c r="Y394" i="1"/>
  <c r="Y395" i="1"/>
  <c r="BQ395" i="1" s="1"/>
  <c r="Y396" i="1"/>
  <c r="Y397" i="1"/>
  <c r="BQ397" i="1" s="1"/>
  <c r="Y398" i="1"/>
  <c r="Y399" i="1"/>
  <c r="Y400" i="1"/>
  <c r="BQ400" i="1" s="1"/>
  <c r="Y401" i="1"/>
  <c r="BQ401" i="1" s="1"/>
  <c r="Y402" i="1"/>
  <c r="BQ402" i="1" s="1"/>
  <c r="Y403" i="1"/>
  <c r="Y404" i="1"/>
  <c r="Y405" i="1"/>
  <c r="Y406" i="1"/>
  <c r="BQ406" i="1" s="1"/>
  <c r="Y407" i="1"/>
  <c r="BQ407" i="1" s="1"/>
  <c r="Y408" i="1"/>
  <c r="Y409" i="1"/>
  <c r="Y410" i="1"/>
  <c r="Y411" i="1"/>
  <c r="BQ411" i="1" s="1"/>
  <c r="Y412" i="1"/>
  <c r="Y413" i="1"/>
  <c r="BQ413" i="1" s="1"/>
  <c r="Y414" i="1"/>
  <c r="Y415" i="1"/>
  <c r="Y416" i="1"/>
  <c r="BQ416" i="1" s="1"/>
  <c r="Y417" i="1"/>
  <c r="BQ417" i="1" s="1"/>
  <c r="Y418" i="1"/>
  <c r="BQ418" i="1" s="1"/>
  <c r="Y419" i="1"/>
  <c r="Y420" i="1"/>
  <c r="Y421" i="1"/>
  <c r="Y422" i="1"/>
  <c r="BQ422" i="1" s="1"/>
  <c r="Y423" i="1"/>
  <c r="BQ423" i="1" s="1"/>
  <c r="Y424" i="1"/>
  <c r="Y425" i="1"/>
  <c r="Y426" i="1"/>
  <c r="Y427" i="1"/>
  <c r="BQ427" i="1" s="1"/>
  <c r="Y428" i="1"/>
  <c r="Y429" i="1"/>
  <c r="BQ429" i="1" s="1"/>
  <c r="Y430" i="1"/>
  <c r="Y431" i="1"/>
  <c r="Y432" i="1"/>
  <c r="BQ432" i="1" s="1"/>
  <c r="Y433" i="1"/>
  <c r="BQ433" i="1" s="1"/>
  <c r="Y434" i="1"/>
  <c r="BQ434" i="1" s="1"/>
  <c r="Y435" i="1"/>
  <c r="Y436" i="1"/>
  <c r="Y437" i="1"/>
  <c r="Y438" i="1"/>
  <c r="BQ438" i="1" s="1"/>
  <c r="Y439" i="1"/>
  <c r="BQ439" i="1" s="1"/>
  <c r="Y440" i="1"/>
  <c r="Y441" i="1"/>
  <c r="Y442" i="1"/>
  <c r="Y443" i="1"/>
  <c r="BQ443" i="1" s="1"/>
  <c r="Y444" i="1"/>
  <c r="Y445" i="1"/>
  <c r="BQ445" i="1" s="1"/>
  <c r="Y446" i="1"/>
  <c r="Y447" i="1"/>
  <c r="Y448" i="1"/>
  <c r="BQ448" i="1" s="1"/>
  <c r="Y449" i="1"/>
  <c r="BQ449" i="1" s="1"/>
  <c r="Y450" i="1"/>
  <c r="BQ450" i="1" s="1"/>
  <c r="Y451" i="1"/>
  <c r="Y452" i="1"/>
  <c r="Y453" i="1"/>
  <c r="Y454" i="1"/>
  <c r="BQ454" i="1" s="1"/>
  <c r="Y455" i="1"/>
  <c r="BQ455" i="1" s="1"/>
  <c r="Y456" i="1"/>
  <c r="Y457" i="1"/>
  <c r="Y458" i="1"/>
  <c r="Y459" i="1"/>
  <c r="BQ459" i="1" s="1"/>
  <c r="Y460" i="1"/>
  <c r="Y461" i="1"/>
  <c r="BQ461" i="1" s="1"/>
  <c r="Y462" i="1"/>
  <c r="Y463" i="1"/>
  <c r="Y464" i="1"/>
  <c r="Y465" i="1"/>
  <c r="BQ465" i="1" s="1"/>
  <c r="Y466" i="1"/>
  <c r="BQ466" i="1" s="1"/>
  <c r="Y467" i="1"/>
  <c r="Y468" i="1"/>
  <c r="Y469" i="1"/>
  <c r="Y470" i="1"/>
  <c r="BQ470" i="1" s="1"/>
  <c r="Y471" i="1"/>
  <c r="BQ471" i="1" s="1"/>
  <c r="Y472" i="1"/>
  <c r="Y473" i="1"/>
  <c r="Y474" i="1"/>
  <c r="Y475" i="1"/>
  <c r="BQ475" i="1" s="1"/>
  <c r="Y476" i="1"/>
  <c r="Y477" i="1"/>
  <c r="BQ477" i="1" s="1"/>
  <c r="Y478" i="1"/>
  <c r="Y479" i="1"/>
  <c r="Y480" i="1"/>
  <c r="BQ480" i="1" s="1"/>
  <c r="Y481" i="1"/>
  <c r="BQ481" i="1" s="1"/>
  <c r="Y482" i="1"/>
  <c r="BQ482" i="1" s="1"/>
  <c r="Y483" i="1"/>
  <c r="Y484" i="1"/>
  <c r="Y485" i="1"/>
  <c r="Y486" i="1"/>
  <c r="BQ486" i="1" s="1"/>
  <c r="Y487" i="1"/>
  <c r="BQ487" i="1" s="1"/>
  <c r="Y488" i="1"/>
  <c r="Y489" i="1"/>
  <c r="Y490" i="1"/>
  <c r="Y491" i="1"/>
  <c r="BQ491" i="1" s="1"/>
  <c r="Y492" i="1"/>
  <c r="Y493" i="1"/>
  <c r="BQ493" i="1" s="1"/>
  <c r="Y494" i="1"/>
  <c r="Y495" i="1"/>
  <c r="Y496" i="1"/>
  <c r="BQ496" i="1" s="1"/>
  <c r="Y497" i="1"/>
  <c r="BQ497" i="1" s="1"/>
  <c r="Y498" i="1"/>
  <c r="BQ498" i="1" s="1"/>
  <c r="Y499" i="1"/>
  <c r="Y500" i="1"/>
  <c r="Y501" i="1"/>
  <c r="Y502" i="1"/>
  <c r="BQ502" i="1" s="1"/>
  <c r="Y503" i="1"/>
  <c r="BQ503" i="1" s="1"/>
  <c r="Y504" i="1"/>
  <c r="Y505" i="1"/>
  <c r="Y506" i="1"/>
  <c r="Y507" i="1"/>
  <c r="BQ507" i="1" s="1"/>
  <c r="Y508" i="1"/>
  <c r="Y509" i="1"/>
  <c r="BQ509" i="1" s="1"/>
  <c r="Y510" i="1"/>
  <c r="Y511" i="1"/>
  <c r="Y512" i="1"/>
  <c r="BQ512" i="1" s="1"/>
  <c r="Y513" i="1"/>
  <c r="BQ513" i="1" s="1"/>
  <c r="Y514" i="1"/>
  <c r="BQ514" i="1" s="1"/>
  <c r="Y515" i="1"/>
  <c r="Y516" i="1"/>
  <c r="Y517" i="1"/>
  <c r="Y518" i="1"/>
  <c r="BQ518" i="1" s="1"/>
  <c r="Y519" i="1"/>
  <c r="BQ519" i="1" s="1"/>
  <c r="Y520" i="1"/>
  <c r="Y521" i="1"/>
  <c r="Y522" i="1"/>
  <c r="Y523" i="1"/>
  <c r="BQ523" i="1" s="1"/>
  <c r="Y524" i="1"/>
  <c r="Y525" i="1"/>
  <c r="BQ525" i="1" s="1"/>
  <c r="Y526" i="1"/>
  <c r="Y527" i="1"/>
  <c r="Y528" i="1"/>
  <c r="BQ528" i="1" s="1"/>
  <c r="Y529" i="1"/>
  <c r="BQ529" i="1" s="1"/>
  <c r="Y530" i="1"/>
  <c r="BQ530" i="1" s="1"/>
  <c r="Y531" i="1"/>
  <c r="Y532" i="1"/>
  <c r="Y533" i="1"/>
  <c r="Y534" i="1"/>
  <c r="BQ534" i="1" s="1"/>
  <c r="Y535" i="1"/>
  <c r="BQ535" i="1" s="1"/>
  <c r="Y536" i="1"/>
  <c r="Y537" i="1"/>
  <c r="Y538" i="1"/>
  <c r="Y539" i="1"/>
  <c r="BQ539" i="1" s="1"/>
  <c r="Y540" i="1"/>
  <c r="Y541" i="1"/>
  <c r="BQ541" i="1" s="1"/>
  <c r="Y542" i="1"/>
  <c r="Y543" i="1"/>
  <c r="Y544" i="1"/>
  <c r="BQ544" i="1" s="1"/>
  <c r="Y545" i="1"/>
  <c r="BQ545" i="1" s="1"/>
  <c r="Y546" i="1"/>
  <c r="BQ546" i="1" s="1"/>
  <c r="Y547" i="1"/>
  <c r="Y548" i="1"/>
  <c r="Y549" i="1"/>
  <c r="Y550" i="1"/>
  <c r="BQ550" i="1" s="1"/>
  <c r="Y551" i="1"/>
  <c r="BQ551" i="1" s="1"/>
  <c r="Y552" i="1"/>
  <c r="Y553" i="1"/>
  <c r="Y554" i="1"/>
  <c r="Y555" i="1"/>
  <c r="BQ555" i="1" s="1"/>
  <c r="Y556" i="1"/>
  <c r="Y557" i="1"/>
  <c r="BQ557" i="1" s="1"/>
  <c r="Y558" i="1"/>
  <c r="Y559" i="1"/>
  <c r="Y560" i="1"/>
  <c r="BQ560" i="1" s="1"/>
  <c r="Y561" i="1"/>
  <c r="BQ561" i="1" s="1"/>
  <c r="Y562" i="1"/>
  <c r="BQ562" i="1" s="1"/>
  <c r="Y563" i="1"/>
  <c r="Y564" i="1"/>
  <c r="Y565" i="1"/>
  <c r="Y566" i="1"/>
  <c r="BQ566" i="1" s="1"/>
  <c r="Y567" i="1"/>
  <c r="BQ567" i="1" s="1"/>
  <c r="Y568" i="1"/>
  <c r="Y569" i="1"/>
  <c r="Y570" i="1"/>
  <c r="Y571" i="1"/>
  <c r="BQ571" i="1" s="1"/>
  <c r="Y572" i="1"/>
  <c r="Y573" i="1"/>
  <c r="BQ573" i="1" s="1"/>
  <c r="Y574" i="1"/>
  <c r="Y575" i="1"/>
  <c r="Y576" i="1"/>
  <c r="Y577" i="1"/>
  <c r="Y578" i="1"/>
  <c r="Y579" i="1"/>
  <c r="Y580" i="1"/>
  <c r="Y581" i="1"/>
  <c r="Y582" i="1"/>
  <c r="BQ582" i="1" s="1"/>
  <c r="Y583" i="1"/>
  <c r="Y584" i="1"/>
  <c r="Y585" i="1"/>
  <c r="Y586" i="1"/>
  <c r="Y587" i="1"/>
  <c r="BQ587" i="1" s="1"/>
  <c r="Y588" i="1"/>
  <c r="Y589" i="1"/>
  <c r="BQ589" i="1" s="1"/>
  <c r="Y590" i="1"/>
  <c r="Y591" i="1"/>
  <c r="Y592" i="1"/>
  <c r="Y593" i="1"/>
  <c r="Y594" i="1"/>
  <c r="Y595" i="1"/>
  <c r="Y596" i="1"/>
  <c r="Y597" i="1"/>
  <c r="Y598" i="1"/>
  <c r="BQ598" i="1" s="1"/>
  <c r="Y599" i="1"/>
  <c r="Y600" i="1"/>
  <c r="Y601" i="1"/>
  <c r="Y602" i="1"/>
  <c r="Y603" i="1"/>
  <c r="BQ603" i="1" s="1"/>
  <c r="Y604" i="1"/>
  <c r="Y605" i="1"/>
  <c r="BQ605" i="1" s="1"/>
  <c r="Y606" i="1"/>
  <c r="Y607" i="1"/>
  <c r="Y608" i="1"/>
  <c r="Y609" i="1"/>
  <c r="Y610" i="1"/>
  <c r="Y611" i="1"/>
  <c r="Y612" i="1"/>
  <c r="Y613" i="1"/>
  <c r="Y614" i="1"/>
  <c r="BQ614" i="1" s="1"/>
  <c r="Y615" i="1"/>
  <c r="Y616" i="1"/>
  <c r="Y617" i="1"/>
  <c r="Y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BQ156" i="1" s="1"/>
  <c r="R157" i="1"/>
  <c r="R158" i="1"/>
  <c r="BQ158" i="1" s="1"/>
  <c r="R159" i="1"/>
  <c r="BQ159" i="1" s="1"/>
  <c r="R160" i="1"/>
  <c r="R161" i="1"/>
  <c r="R162" i="1"/>
  <c r="R163" i="1"/>
  <c r="BQ163" i="1" s="1"/>
  <c r="R164" i="1"/>
  <c r="BQ164" i="1" s="1"/>
  <c r="R165" i="1"/>
  <c r="BQ165" i="1" s="1"/>
  <c r="R166" i="1"/>
  <c r="R167" i="1"/>
  <c r="R168" i="1"/>
  <c r="BQ168" i="1" s="1"/>
  <c r="R169" i="1"/>
  <c r="BQ169" i="1" s="1"/>
  <c r="R170" i="1"/>
  <c r="BQ170" i="1" s="1"/>
  <c r="R171" i="1"/>
  <c r="R172" i="1"/>
  <c r="BQ172" i="1" s="1"/>
  <c r="R173" i="1"/>
  <c r="R174" i="1"/>
  <c r="BQ174" i="1" s="1"/>
  <c r="R175" i="1"/>
  <c r="BQ175" i="1" s="1"/>
  <c r="R176" i="1"/>
  <c r="R177" i="1"/>
  <c r="R178" i="1"/>
  <c r="R179" i="1"/>
  <c r="BQ179" i="1" s="1"/>
  <c r="R180" i="1"/>
  <c r="BQ180" i="1" s="1"/>
  <c r="R181" i="1"/>
  <c r="BQ181" i="1" s="1"/>
  <c r="R182" i="1"/>
  <c r="R183" i="1"/>
  <c r="R184" i="1"/>
  <c r="BQ184" i="1" s="1"/>
  <c r="R185" i="1"/>
  <c r="BQ185" i="1" s="1"/>
  <c r="R186" i="1"/>
  <c r="BQ186" i="1" s="1"/>
  <c r="R187" i="1"/>
  <c r="R188" i="1"/>
  <c r="BQ188" i="1" s="1"/>
  <c r="R189" i="1"/>
  <c r="R190" i="1"/>
  <c r="BQ190" i="1" s="1"/>
  <c r="R191" i="1"/>
  <c r="BQ191" i="1" s="1"/>
  <c r="R192" i="1"/>
  <c r="R193" i="1"/>
  <c r="R194" i="1"/>
  <c r="R195" i="1"/>
  <c r="BQ195" i="1" s="1"/>
  <c r="R196" i="1"/>
  <c r="BQ196" i="1" s="1"/>
  <c r="R197" i="1"/>
  <c r="BQ197" i="1" s="1"/>
  <c r="R198" i="1"/>
  <c r="R199" i="1"/>
  <c r="R200" i="1"/>
  <c r="BQ200" i="1" s="1"/>
  <c r="R201" i="1"/>
  <c r="BQ201" i="1" s="1"/>
  <c r="R202" i="1"/>
  <c r="BQ202" i="1" s="1"/>
  <c r="R203" i="1"/>
  <c r="R204" i="1"/>
  <c r="BQ204" i="1" s="1"/>
  <c r="R205" i="1"/>
  <c r="R206" i="1"/>
  <c r="BQ206" i="1" s="1"/>
  <c r="R207" i="1"/>
  <c r="BQ207" i="1" s="1"/>
  <c r="R208" i="1"/>
  <c r="R209" i="1"/>
  <c r="R210" i="1"/>
  <c r="R211" i="1"/>
  <c r="BQ211" i="1" s="1"/>
  <c r="R212" i="1"/>
  <c r="BQ212" i="1" s="1"/>
  <c r="R213" i="1"/>
  <c r="BQ213" i="1" s="1"/>
  <c r="R214" i="1"/>
  <c r="R215" i="1"/>
  <c r="R216" i="1"/>
  <c r="BQ216" i="1" s="1"/>
  <c r="R217" i="1"/>
  <c r="BQ217" i="1" s="1"/>
  <c r="R218" i="1"/>
  <c r="BQ218" i="1" s="1"/>
  <c r="R219" i="1"/>
  <c r="R220" i="1"/>
  <c r="BQ220" i="1" s="1"/>
  <c r="R221" i="1"/>
  <c r="R222" i="1"/>
  <c r="BQ222" i="1" s="1"/>
  <c r="R223" i="1"/>
  <c r="BQ223" i="1" s="1"/>
  <c r="R224" i="1"/>
  <c r="R225" i="1"/>
  <c r="R226" i="1"/>
  <c r="R227" i="1"/>
  <c r="BQ227" i="1" s="1"/>
  <c r="R228" i="1"/>
  <c r="BQ228" i="1" s="1"/>
  <c r="R229" i="1"/>
  <c r="BQ229" i="1" s="1"/>
  <c r="R230" i="1"/>
  <c r="R231" i="1"/>
  <c r="R232" i="1"/>
  <c r="BQ232" i="1" s="1"/>
  <c r="R233" i="1"/>
  <c r="R234" i="1"/>
  <c r="BQ234" i="1" s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2" i="1"/>
  <c r="W3" i="1"/>
  <c r="BP3" i="1" s="1"/>
  <c r="W4" i="1"/>
  <c r="BP4" i="1" s="1"/>
  <c r="W5" i="1"/>
  <c r="BP5" i="1" s="1"/>
  <c r="W6" i="1"/>
  <c r="W7" i="1"/>
  <c r="BP7" i="1" s="1"/>
  <c r="W8" i="1"/>
  <c r="W9" i="1"/>
  <c r="W10" i="1"/>
  <c r="W11" i="1"/>
  <c r="W12" i="1"/>
  <c r="BP12" i="1" s="1"/>
  <c r="W13" i="1"/>
  <c r="W14" i="1"/>
  <c r="BP14" i="1" s="1"/>
  <c r="W15" i="1"/>
  <c r="W16" i="1"/>
  <c r="BP16" i="1" s="1"/>
  <c r="W17" i="1"/>
  <c r="BP17" i="1" s="1"/>
  <c r="W18" i="1"/>
  <c r="BP18" i="1" s="1"/>
  <c r="W19" i="1"/>
  <c r="BP19" i="1" s="1"/>
  <c r="W20" i="1"/>
  <c r="BP20" i="1" s="1"/>
  <c r="W21" i="1"/>
  <c r="BP21" i="1" s="1"/>
  <c r="W22" i="1"/>
  <c r="W23" i="1"/>
  <c r="BP23" i="1" s="1"/>
  <c r="W24" i="1"/>
  <c r="W25" i="1"/>
  <c r="W26" i="1"/>
  <c r="W27" i="1"/>
  <c r="W28" i="1"/>
  <c r="BP28" i="1" s="1"/>
  <c r="W29" i="1"/>
  <c r="W30" i="1"/>
  <c r="BP30" i="1" s="1"/>
  <c r="W31" i="1"/>
  <c r="W32" i="1"/>
  <c r="BP32" i="1" s="1"/>
  <c r="W33" i="1"/>
  <c r="BP33" i="1" s="1"/>
  <c r="W34" i="1"/>
  <c r="BP34" i="1" s="1"/>
  <c r="W35" i="1"/>
  <c r="BP35" i="1" s="1"/>
  <c r="W36" i="1"/>
  <c r="BP36" i="1" s="1"/>
  <c r="W37" i="1"/>
  <c r="BP37" i="1" s="1"/>
  <c r="W38" i="1"/>
  <c r="W39" i="1"/>
  <c r="BP39" i="1" s="1"/>
  <c r="W40" i="1"/>
  <c r="W41" i="1"/>
  <c r="W42" i="1"/>
  <c r="W43" i="1"/>
  <c r="W44" i="1"/>
  <c r="BP44" i="1" s="1"/>
  <c r="W45" i="1"/>
  <c r="W46" i="1"/>
  <c r="BP46" i="1" s="1"/>
  <c r="W47" i="1"/>
  <c r="W48" i="1"/>
  <c r="BP48" i="1" s="1"/>
  <c r="W49" i="1"/>
  <c r="BP49" i="1" s="1"/>
  <c r="W50" i="1"/>
  <c r="BP50" i="1" s="1"/>
  <c r="W51" i="1"/>
  <c r="BP51" i="1" s="1"/>
  <c r="W52" i="1"/>
  <c r="BP52" i="1" s="1"/>
  <c r="W53" i="1"/>
  <c r="BP53" i="1" s="1"/>
  <c r="W54" i="1"/>
  <c r="W55" i="1"/>
  <c r="BP55" i="1" s="1"/>
  <c r="W56" i="1"/>
  <c r="W57" i="1"/>
  <c r="W58" i="1"/>
  <c r="W59" i="1"/>
  <c r="BP59" i="1" s="1"/>
  <c r="W60" i="1"/>
  <c r="BP60" i="1" s="1"/>
  <c r="W61" i="1"/>
  <c r="W62" i="1"/>
  <c r="BP62" i="1" s="1"/>
  <c r="W63" i="1"/>
  <c r="W64" i="1"/>
  <c r="BP64" i="1" s="1"/>
  <c r="W65" i="1"/>
  <c r="BP65" i="1" s="1"/>
  <c r="W66" i="1"/>
  <c r="BP66" i="1" s="1"/>
  <c r="W67" i="1"/>
  <c r="BP67" i="1" s="1"/>
  <c r="W68" i="1"/>
  <c r="BP68" i="1" s="1"/>
  <c r="W69" i="1"/>
  <c r="BP69" i="1" s="1"/>
  <c r="W70" i="1"/>
  <c r="W71" i="1"/>
  <c r="BP71" i="1" s="1"/>
  <c r="W72" i="1"/>
  <c r="W73" i="1"/>
  <c r="W74" i="1"/>
  <c r="W75" i="1"/>
  <c r="BP75" i="1" s="1"/>
  <c r="W76" i="1"/>
  <c r="BP76" i="1" s="1"/>
  <c r="W77" i="1"/>
  <c r="W78" i="1"/>
  <c r="BP78" i="1" s="1"/>
  <c r="W79" i="1"/>
  <c r="W80" i="1"/>
  <c r="BP80" i="1" s="1"/>
  <c r="W81" i="1"/>
  <c r="BP81" i="1" s="1"/>
  <c r="W82" i="1"/>
  <c r="BP82" i="1" s="1"/>
  <c r="W83" i="1"/>
  <c r="BP83" i="1" s="1"/>
  <c r="W84" i="1"/>
  <c r="BP84" i="1" s="1"/>
  <c r="W85" i="1"/>
  <c r="BP85" i="1" s="1"/>
  <c r="W86" i="1"/>
  <c r="W87" i="1"/>
  <c r="BP87" i="1" s="1"/>
  <c r="W88" i="1"/>
  <c r="W89" i="1"/>
  <c r="W90" i="1"/>
  <c r="W91" i="1"/>
  <c r="BP91" i="1" s="1"/>
  <c r="W92" i="1"/>
  <c r="BP92" i="1" s="1"/>
  <c r="W93" i="1"/>
  <c r="W94" i="1"/>
  <c r="BP94" i="1" s="1"/>
  <c r="W95" i="1"/>
  <c r="W96" i="1"/>
  <c r="BP96" i="1" s="1"/>
  <c r="W97" i="1"/>
  <c r="BP97" i="1" s="1"/>
  <c r="W98" i="1"/>
  <c r="BP98" i="1" s="1"/>
  <c r="W99" i="1"/>
  <c r="BP99" i="1" s="1"/>
  <c r="W100" i="1"/>
  <c r="BP100" i="1" s="1"/>
  <c r="W101" i="1"/>
  <c r="BP101" i="1" s="1"/>
  <c r="W102" i="1"/>
  <c r="W103" i="1"/>
  <c r="BP103" i="1" s="1"/>
  <c r="W104" i="1"/>
  <c r="W105" i="1"/>
  <c r="W106" i="1"/>
  <c r="W107" i="1"/>
  <c r="BP107" i="1" s="1"/>
  <c r="W108" i="1"/>
  <c r="BP108" i="1" s="1"/>
  <c r="W109" i="1"/>
  <c r="W110" i="1"/>
  <c r="BP110" i="1" s="1"/>
  <c r="W111" i="1"/>
  <c r="W112" i="1"/>
  <c r="BP112" i="1" s="1"/>
  <c r="W113" i="1"/>
  <c r="BP113" i="1" s="1"/>
  <c r="W114" i="1"/>
  <c r="BP114" i="1" s="1"/>
  <c r="W115" i="1"/>
  <c r="BP115" i="1" s="1"/>
  <c r="W116" i="1"/>
  <c r="BP116" i="1" s="1"/>
  <c r="W117" i="1"/>
  <c r="BP117" i="1" s="1"/>
  <c r="W118" i="1"/>
  <c r="W119" i="1"/>
  <c r="BP119" i="1" s="1"/>
  <c r="W120" i="1"/>
  <c r="W121" i="1"/>
  <c r="W122" i="1"/>
  <c r="W123" i="1"/>
  <c r="BP123" i="1" s="1"/>
  <c r="W124" i="1"/>
  <c r="BP124" i="1" s="1"/>
  <c r="W125" i="1"/>
  <c r="W126" i="1"/>
  <c r="BP126" i="1" s="1"/>
  <c r="W127" i="1"/>
  <c r="W128" i="1"/>
  <c r="BP128" i="1" s="1"/>
  <c r="W129" i="1"/>
  <c r="BP129" i="1" s="1"/>
  <c r="W130" i="1"/>
  <c r="BP130" i="1" s="1"/>
  <c r="W131" i="1"/>
  <c r="BP131" i="1" s="1"/>
  <c r="W132" i="1"/>
  <c r="BP132" i="1" s="1"/>
  <c r="W133" i="1"/>
  <c r="BP133" i="1" s="1"/>
  <c r="W134" i="1"/>
  <c r="W135" i="1"/>
  <c r="BP135" i="1" s="1"/>
  <c r="W136" i="1"/>
  <c r="W137" i="1"/>
  <c r="W138" i="1"/>
  <c r="W139" i="1"/>
  <c r="BP139" i="1" s="1"/>
  <c r="W140" i="1"/>
  <c r="BP140" i="1" s="1"/>
  <c r="W141" i="1"/>
  <c r="W142" i="1"/>
  <c r="BP142" i="1" s="1"/>
  <c r="W143" i="1"/>
  <c r="W144" i="1"/>
  <c r="BP144" i="1" s="1"/>
  <c r="W145" i="1"/>
  <c r="BP145" i="1" s="1"/>
  <c r="W146" i="1"/>
  <c r="BP146" i="1" s="1"/>
  <c r="W147" i="1"/>
  <c r="BP147" i="1" s="1"/>
  <c r="W148" i="1"/>
  <c r="BP148" i="1" s="1"/>
  <c r="W149" i="1"/>
  <c r="BP149" i="1" s="1"/>
  <c r="W150" i="1"/>
  <c r="W151" i="1"/>
  <c r="BP151" i="1" s="1"/>
  <c r="W152" i="1"/>
  <c r="W153" i="1"/>
  <c r="W154" i="1"/>
  <c r="W155" i="1"/>
  <c r="BP155" i="1" s="1"/>
  <c r="W156" i="1"/>
  <c r="BP156" i="1" s="1"/>
  <c r="W157" i="1"/>
  <c r="W158" i="1"/>
  <c r="BP158" i="1" s="1"/>
  <c r="W159" i="1"/>
  <c r="W160" i="1"/>
  <c r="BP160" i="1" s="1"/>
  <c r="W161" i="1"/>
  <c r="BP161" i="1" s="1"/>
  <c r="W162" i="1"/>
  <c r="BP162" i="1" s="1"/>
  <c r="W163" i="1"/>
  <c r="BP163" i="1" s="1"/>
  <c r="W164" i="1"/>
  <c r="BP164" i="1" s="1"/>
  <c r="W165" i="1"/>
  <c r="BP165" i="1" s="1"/>
  <c r="W166" i="1"/>
  <c r="W167" i="1"/>
  <c r="BP167" i="1" s="1"/>
  <c r="W168" i="1"/>
  <c r="W169" i="1"/>
  <c r="W170" i="1"/>
  <c r="W171" i="1"/>
  <c r="BP171" i="1" s="1"/>
  <c r="W172" i="1"/>
  <c r="BP172" i="1" s="1"/>
  <c r="W173" i="1"/>
  <c r="W174" i="1"/>
  <c r="BP174" i="1" s="1"/>
  <c r="W175" i="1"/>
  <c r="W176" i="1"/>
  <c r="BP176" i="1" s="1"/>
  <c r="W177" i="1"/>
  <c r="BP177" i="1" s="1"/>
  <c r="W178" i="1"/>
  <c r="BP178" i="1" s="1"/>
  <c r="W179" i="1"/>
  <c r="BP179" i="1" s="1"/>
  <c r="W180" i="1"/>
  <c r="BP180" i="1" s="1"/>
  <c r="W181" i="1"/>
  <c r="BP181" i="1" s="1"/>
  <c r="W182" i="1"/>
  <c r="W183" i="1"/>
  <c r="BP183" i="1" s="1"/>
  <c r="W184" i="1"/>
  <c r="W185" i="1"/>
  <c r="W186" i="1"/>
  <c r="W187" i="1"/>
  <c r="BP187" i="1" s="1"/>
  <c r="W188" i="1"/>
  <c r="BP188" i="1" s="1"/>
  <c r="W189" i="1"/>
  <c r="W190" i="1"/>
  <c r="BP190" i="1" s="1"/>
  <c r="W191" i="1"/>
  <c r="W192" i="1"/>
  <c r="BP192" i="1" s="1"/>
  <c r="W193" i="1"/>
  <c r="BP193" i="1" s="1"/>
  <c r="W194" i="1"/>
  <c r="BP194" i="1" s="1"/>
  <c r="W195" i="1"/>
  <c r="BP195" i="1" s="1"/>
  <c r="W196" i="1"/>
  <c r="BP196" i="1" s="1"/>
  <c r="W197" i="1"/>
  <c r="BP197" i="1" s="1"/>
  <c r="W198" i="1"/>
  <c r="W199" i="1"/>
  <c r="BP199" i="1" s="1"/>
  <c r="W200" i="1"/>
  <c r="W201" i="1"/>
  <c r="W202" i="1"/>
  <c r="W203" i="1"/>
  <c r="BP203" i="1" s="1"/>
  <c r="W204" i="1"/>
  <c r="BP204" i="1" s="1"/>
  <c r="W205" i="1"/>
  <c r="W206" i="1"/>
  <c r="BP206" i="1" s="1"/>
  <c r="W207" i="1"/>
  <c r="W208" i="1"/>
  <c r="BP208" i="1" s="1"/>
  <c r="W209" i="1"/>
  <c r="BP209" i="1" s="1"/>
  <c r="W210" i="1"/>
  <c r="BP210" i="1" s="1"/>
  <c r="W211" i="1"/>
  <c r="BP211" i="1" s="1"/>
  <c r="W212" i="1"/>
  <c r="BP212" i="1" s="1"/>
  <c r="W213" i="1"/>
  <c r="BP213" i="1" s="1"/>
  <c r="W214" i="1"/>
  <c r="W215" i="1"/>
  <c r="BP215" i="1" s="1"/>
  <c r="W216" i="1"/>
  <c r="W217" i="1"/>
  <c r="W218" i="1"/>
  <c r="W219" i="1"/>
  <c r="BP219" i="1" s="1"/>
  <c r="W220" i="1"/>
  <c r="BP220" i="1" s="1"/>
  <c r="W221" i="1"/>
  <c r="W222" i="1"/>
  <c r="BP222" i="1" s="1"/>
  <c r="W223" i="1"/>
  <c r="W224" i="1"/>
  <c r="BP224" i="1" s="1"/>
  <c r="W225" i="1"/>
  <c r="BP225" i="1" s="1"/>
  <c r="W226" i="1"/>
  <c r="BP226" i="1" s="1"/>
  <c r="W227" i="1"/>
  <c r="BP227" i="1" s="1"/>
  <c r="W228" i="1"/>
  <c r="BP228" i="1" s="1"/>
  <c r="W229" i="1"/>
  <c r="BP229" i="1" s="1"/>
  <c r="W230" i="1"/>
  <c r="W231" i="1"/>
  <c r="BP231" i="1" s="1"/>
  <c r="W232" i="1"/>
  <c r="W233" i="1"/>
  <c r="W234" i="1"/>
  <c r="W235" i="1"/>
  <c r="BP235" i="1" s="1"/>
  <c r="W236" i="1"/>
  <c r="BP236" i="1" s="1"/>
  <c r="W237" i="1"/>
  <c r="W238" i="1"/>
  <c r="BP238" i="1" s="1"/>
  <c r="W239" i="1"/>
  <c r="W240" i="1"/>
  <c r="BP240" i="1" s="1"/>
  <c r="W241" i="1"/>
  <c r="BP241" i="1" s="1"/>
  <c r="W242" i="1"/>
  <c r="BP242" i="1" s="1"/>
  <c r="W243" i="1"/>
  <c r="BP243" i="1" s="1"/>
  <c r="W244" i="1"/>
  <c r="BP244" i="1" s="1"/>
  <c r="W245" i="1"/>
  <c r="BP245" i="1" s="1"/>
  <c r="W246" i="1"/>
  <c r="W247" i="1"/>
  <c r="BP247" i="1" s="1"/>
  <c r="W248" i="1"/>
  <c r="W249" i="1"/>
  <c r="W250" i="1"/>
  <c r="W251" i="1"/>
  <c r="BP251" i="1" s="1"/>
  <c r="W252" i="1"/>
  <c r="BP252" i="1" s="1"/>
  <c r="W253" i="1"/>
  <c r="W254" i="1"/>
  <c r="BP254" i="1" s="1"/>
  <c r="W255" i="1"/>
  <c r="W256" i="1"/>
  <c r="BP256" i="1" s="1"/>
  <c r="W257" i="1"/>
  <c r="BP257" i="1" s="1"/>
  <c r="W258" i="1"/>
  <c r="BP258" i="1" s="1"/>
  <c r="W259" i="1"/>
  <c r="BP259" i="1" s="1"/>
  <c r="W260" i="1"/>
  <c r="BP260" i="1" s="1"/>
  <c r="W261" i="1"/>
  <c r="BP261" i="1" s="1"/>
  <c r="W262" i="1"/>
  <c r="W263" i="1"/>
  <c r="BP263" i="1" s="1"/>
  <c r="W264" i="1"/>
  <c r="W265" i="1"/>
  <c r="W266" i="1"/>
  <c r="W267" i="1"/>
  <c r="BP267" i="1" s="1"/>
  <c r="W268" i="1"/>
  <c r="BP268" i="1" s="1"/>
  <c r="W269" i="1"/>
  <c r="W270" i="1"/>
  <c r="BP270" i="1" s="1"/>
  <c r="W271" i="1"/>
  <c r="W272" i="1"/>
  <c r="BP272" i="1" s="1"/>
  <c r="W273" i="1"/>
  <c r="BP273" i="1" s="1"/>
  <c r="W274" i="1"/>
  <c r="BP274" i="1" s="1"/>
  <c r="W275" i="1"/>
  <c r="BP275" i="1" s="1"/>
  <c r="W276" i="1"/>
  <c r="BP276" i="1" s="1"/>
  <c r="W277" i="1"/>
  <c r="BP277" i="1" s="1"/>
  <c r="W278" i="1"/>
  <c r="W279" i="1"/>
  <c r="BP279" i="1" s="1"/>
  <c r="W280" i="1"/>
  <c r="W281" i="1"/>
  <c r="W282" i="1"/>
  <c r="W283" i="1"/>
  <c r="BP283" i="1" s="1"/>
  <c r="W284" i="1"/>
  <c r="BP284" i="1" s="1"/>
  <c r="W285" i="1"/>
  <c r="W286" i="1"/>
  <c r="BP286" i="1" s="1"/>
  <c r="W287" i="1"/>
  <c r="W288" i="1"/>
  <c r="BP288" i="1" s="1"/>
  <c r="W289" i="1"/>
  <c r="BP289" i="1" s="1"/>
  <c r="W290" i="1"/>
  <c r="BP290" i="1" s="1"/>
  <c r="W291" i="1"/>
  <c r="BP291" i="1" s="1"/>
  <c r="W292" i="1"/>
  <c r="BP292" i="1" s="1"/>
  <c r="W293" i="1"/>
  <c r="BP293" i="1" s="1"/>
  <c r="W294" i="1"/>
  <c r="W295" i="1"/>
  <c r="BP295" i="1" s="1"/>
  <c r="W296" i="1"/>
  <c r="W297" i="1"/>
  <c r="W298" i="1"/>
  <c r="W299" i="1"/>
  <c r="BP299" i="1" s="1"/>
  <c r="W300" i="1"/>
  <c r="BP300" i="1" s="1"/>
  <c r="W301" i="1"/>
  <c r="W302" i="1"/>
  <c r="BP302" i="1" s="1"/>
  <c r="W303" i="1"/>
  <c r="W304" i="1"/>
  <c r="BP304" i="1" s="1"/>
  <c r="W305" i="1"/>
  <c r="BP305" i="1" s="1"/>
  <c r="W306" i="1"/>
  <c r="BP306" i="1" s="1"/>
  <c r="W307" i="1"/>
  <c r="BP307" i="1" s="1"/>
  <c r="W308" i="1"/>
  <c r="BP308" i="1" s="1"/>
  <c r="W309" i="1"/>
  <c r="BP309" i="1" s="1"/>
  <c r="W310" i="1"/>
  <c r="W311" i="1"/>
  <c r="BP311" i="1" s="1"/>
  <c r="W312" i="1"/>
  <c r="W313" i="1"/>
  <c r="W314" i="1"/>
  <c r="W315" i="1"/>
  <c r="BP315" i="1" s="1"/>
  <c r="W316" i="1"/>
  <c r="BP316" i="1" s="1"/>
  <c r="W317" i="1"/>
  <c r="W318" i="1"/>
  <c r="BP318" i="1" s="1"/>
  <c r="W319" i="1"/>
  <c r="W320" i="1"/>
  <c r="BP320" i="1" s="1"/>
  <c r="W321" i="1"/>
  <c r="BP321" i="1" s="1"/>
  <c r="W322" i="1"/>
  <c r="BP322" i="1" s="1"/>
  <c r="W323" i="1"/>
  <c r="BP323" i="1" s="1"/>
  <c r="W324" i="1"/>
  <c r="BP324" i="1" s="1"/>
  <c r="W325" i="1"/>
  <c r="BP325" i="1" s="1"/>
  <c r="W326" i="1"/>
  <c r="W327" i="1"/>
  <c r="BP327" i="1" s="1"/>
  <c r="W328" i="1"/>
  <c r="W329" i="1"/>
  <c r="W330" i="1"/>
  <c r="W331" i="1"/>
  <c r="BP331" i="1" s="1"/>
  <c r="W332" i="1"/>
  <c r="BP332" i="1" s="1"/>
  <c r="W333" i="1"/>
  <c r="W334" i="1"/>
  <c r="BP334" i="1" s="1"/>
  <c r="W335" i="1"/>
  <c r="W336" i="1"/>
  <c r="BP336" i="1" s="1"/>
  <c r="W337" i="1"/>
  <c r="BP337" i="1" s="1"/>
  <c r="W338" i="1"/>
  <c r="BP338" i="1" s="1"/>
  <c r="W339" i="1"/>
  <c r="BP339" i="1" s="1"/>
  <c r="W340" i="1"/>
  <c r="BP340" i="1" s="1"/>
  <c r="W341" i="1"/>
  <c r="BP341" i="1" s="1"/>
  <c r="W342" i="1"/>
  <c r="W343" i="1"/>
  <c r="BP343" i="1" s="1"/>
  <c r="W344" i="1"/>
  <c r="W345" i="1"/>
  <c r="W346" i="1"/>
  <c r="W347" i="1"/>
  <c r="BP347" i="1" s="1"/>
  <c r="W348" i="1"/>
  <c r="BP348" i="1" s="1"/>
  <c r="W349" i="1"/>
  <c r="W350" i="1"/>
  <c r="BP350" i="1" s="1"/>
  <c r="W351" i="1"/>
  <c r="W352" i="1"/>
  <c r="BP352" i="1" s="1"/>
  <c r="W353" i="1"/>
  <c r="BP353" i="1" s="1"/>
  <c r="W354" i="1"/>
  <c r="BP354" i="1" s="1"/>
  <c r="W355" i="1"/>
  <c r="BP355" i="1" s="1"/>
  <c r="W356" i="1"/>
  <c r="BP356" i="1" s="1"/>
  <c r="W357" i="1"/>
  <c r="BP357" i="1" s="1"/>
  <c r="W358" i="1"/>
  <c r="W359" i="1"/>
  <c r="BP359" i="1" s="1"/>
  <c r="W360" i="1"/>
  <c r="W361" i="1"/>
  <c r="W362" i="1"/>
  <c r="W363" i="1"/>
  <c r="BP363" i="1" s="1"/>
  <c r="W364" i="1"/>
  <c r="BP364" i="1" s="1"/>
  <c r="W365" i="1"/>
  <c r="W366" i="1"/>
  <c r="BP366" i="1" s="1"/>
  <c r="W367" i="1"/>
  <c r="W368" i="1"/>
  <c r="BP368" i="1" s="1"/>
  <c r="W369" i="1"/>
  <c r="BP369" i="1" s="1"/>
  <c r="W370" i="1"/>
  <c r="BP370" i="1" s="1"/>
  <c r="W371" i="1"/>
  <c r="BP371" i="1" s="1"/>
  <c r="W372" i="1"/>
  <c r="BP372" i="1" s="1"/>
  <c r="W373" i="1"/>
  <c r="BP373" i="1" s="1"/>
  <c r="W374" i="1"/>
  <c r="W375" i="1"/>
  <c r="BP375" i="1" s="1"/>
  <c r="W376" i="1"/>
  <c r="W377" i="1"/>
  <c r="W378" i="1"/>
  <c r="W379" i="1"/>
  <c r="BP379" i="1" s="1"/>
  <c r="W380" i="1"/>
  <c r="BP380" i="1" s="1"/>
  <c r="W381" i="1"/>
  <c r="W382" i="1"/>
  <c r="BP382" i="1" s="1"/>
  <c r="W383" i="1"/>
  <c r="W384" i="1"/>
  <c r="BP384" i="1" s="1"/>
  <c r="W385" i="1"/>
  <c r="BP385" i="1" s="1"/>
  <c r="W386" i="1"/>
  <c r="BP386" i="1" s="1"/>
  <c r="W387" i="1"/>
  <c r="BP387" i="1" s="1"/>
  <c r="W388" i="1"/>
  <c r="BP388" i="1" s="1"/>
  <c r="W389" i="1"/>
  <c r="BP389" i="1" s="1"/>
  <c r="W390" i="1"/>
  <c r="W391" i="1"/>
  <c r="BP391" i="1" s="1"/>
  <c r="W392" i="1"/>
  <c r="W393" i="1"/>
  <c r="W394" i="1"/>
  <c r="W395" i="1"/>
  <c r="BP395" i="1" s="1"/>
  <c r="W396" i="1"/>
  <c r="BP396" i="1" s="1"/>
  <c r="W397" i="1"/>
  <c r="W398" i="1"/>
  <c r="BP398" i="1" s="1"/>
  <c r="W399" i="1"/>
  <c r="W400" i="1"/>
  <c r="BP400" i="1" s="1"/>
  <c r="W401" i="1"/>
  <c r="BP401" i="1" s="1"/>
  <c r="W402" i="1"/>
  <c r="BP402" i="1" s="1"/>
  <c r="W403" i="1"/>
  <c r="BP403" i="1" s="1"/>
  <c r="W404" i="1"/>
  <c r="BP404" i="1" s="1"/>
  <c r="W405" i="1"/>
  <c r="BP405" i="1" s="1"/>
  <c r="W406" i="1"/>
  <c r="W407" i="1"/>
  <c r="BP407" i="1" s="1"/>
  <c r="W408" i="1"/>
  <c r="W409" i="1"/>
  <c r="W410" i="1"/>
  <c r="W411" i="1"/>
  <c r="BP411" i="1" s="1"/>
  <c r="W412" i="1"/>
  <c r="BP412" i="1" s="1"/>
  <c r="W413" i="1"/>
  <c r="W414" i="1"/>
  <c r="BP414" i="1" s="1"/>
  <c r="W415" i="1"/>
  <c r="W416" i="1"/>
  <c r="BP416" i="1" s="1"/>
  <c r="W417" i="1"/>
  <c r="BP417" i="1" s="1"/>
  <c r="W418" i="1"/>
  <c r="BP418" i="1" s="1"/>
  <c r="W419" i="1"/>
  <c r="BP419" i="1" s="1"/>
  <c r="W420" i="1"/>
  <c r="BP420" i="1" s="1"/>
  <c r="W421" i="1"/>
  <c r="BP421" i="1" s="1"/>
  <c r="W422" i="1"/>
  <c r="W423" i="1"/>
  <c r="BP423" i="1" s="1"/>
  <c r="W424" i="1"/>
  <c r="W425" i="1"/>
  <c r="W426" i="1"/>
  <c r="W427" i="1"/>
  <c r="BP427" i="1" s="1"/>
  <c r="W428" i="1"/>
  <c r="BP428" i="1" s="1"/>
  <c r="W429" i="1"/>
  <c r="W430" i="1"/>
  <c r="BP430" i="1" s="1"/>
  <c r="W431" i="1"/>
  <c r="W432" i="1"/>
  <c r="BP432" i="1" s="1"/>
  <c r="W433" i="1"/>
  <c r="BP433" i="1" s="1"/>
  <c r="W434" i="1"/>
  <c r="BP434" i="1" s="1"/>
  <c r="W435" i="1"/>
  <c r="BP435" i="1" s="1"/>
  <c r="W436" i="1"/>
  <c r="BP436" i="1" s="1"/>
  <c r="W437" i="1"/>
  <c r="BP437" i="1" s="1"/>
  <c r="W438" i="1"/>
  <c r="W439" i="1"/>
  <c r="BP439" i="1" s="1"/>
  <c r="W440" i="1"/>
  <c r="W441" i="1"/>
  <c r="W442" i="1"/>
  <c r="W443" i="1"/>
  <c r="BP443" i="1" s="1"/>
  <c r="W444" i="1"/>
  <c r="BP444" i="1" s="1"/>
  <c r="W445" i="1"/>
  <c r="W446" i="1"/>
  <c r="BP446" i="1" s="1"/>
  <c r="W447" i="1"/>
  <c r="W448" i="1"/>
  <c r="BP448" i="1" s="1"/>
  <c r="W449" i="1"/>
  <c r="BP449" i="1" s="1"/>
  <c r="W450" i="1"/>
  <c r="BP450" i="1" s="1"/>
  <c r="W451" i="1"/>
  <c r="BP451" i="1" s="1"/>
  <c r="W452" i="1"/>
  <c r="BP452" i="1" s="1"/>
  <c r="W453" i="1"/>
  <c r="BP453" i="1" s="1"/>
  <c r="W454" i="1"/>
  <c r="W455" i="1"/>
  <c r="BP455" i="1" s="1"/>
  <c r="W456" i="1"/>
  <c r="W457" i="1"/>
  <c r="W458" i="1"/>
  <c r="W459" i="1"/>
  <c r="BP459" i="1" s="1"/>
  <c r="W460" i="1"/>
  <c r="BP460" i="1" s="1"/>
  <c r="W461" i="1"/>
  <c r="W462" i="1"/>
  <c r="BP462" i="1" s="1"/>
  <c r="W463" i="1"/>
  <c r="W464" i="1"/>
  <c r="BP464" i="1" s="1"/>
  <c r="W465" i="1"/>
  <c r="BP465" i="1" s="1"/>
  <c r="W466" i="1"/>
  <c r="BP466" i="1" s="1"/>
  <c r="W467" i="1"/>
  <c r="BP467" i="1" s="1"/>
  <c r="W468" i="1"/>
  <c r="BP468" i="1" s="1"/>
  <c r="W469" i="1"/>
  <c r="BP469" i="1" s="1"/>
  <c r="W470" i="1"/>
  <c r="W471" i="1"/>
  <c r="BP471" i="1" s="1"/>
  <c r="W472" i="1"/>
  <c r="W473" i="1"/>
  <c r="W474" i="1"/>
  <c r="W475" i="1"/>
  <c r="BP475" i="1" s="1"/>
  <c r="W476" i="1"/>
  <c r="BP476" i="1" s="1"/>
  <c r="W477" i="1"/>
  <c r="W478" i="1"/>
  <c r="BP478" i="1" s="1"/>
  <c r="W479" i="1"/>
  <c r="W480" i="1"/>
  <c r="BP480" i="1" s="1"/>
  <c r="W481" i="1"/>
  <c r="BP481" i="1" s="1"/>
  <c r="W482" i="1"/>
  <c r="BP482" i="1" s="1"/>
  <c r="W483" i="1"/>
  <c r="BP483" i="1" s="1"/>
  <c r="W484" i="1"/>
  <c r="BP484" i="1" s="1"/>
  <c r="W485" i="1"/>
  <c r="BP485" i="1" s="1"/>
  <c r="W486" i="1"/>
  <c r="W487" i="1"/>
  <c r="BP487" i="1" s="1"/>
  <c r="W488" i="1"/>
  <c r="W489" i="1"/>
  <c r="W490" i="1"/>
  <c r="W491" i="1"/>
  <c r="BP491" i="1" s="1"/>
  <c r="W492" i="1"/>
  <c r="BP492" i="1" s="1"/>
  <c r="W493" i="1"/>
  <c r="W494" i="1"/>
  <c r="BP494" i="1" s="1"/>
  <c r="W495" i="1"/>
  <c r="W496" i="1"/>
  <c r="BP496" i="1" s="1"/>
  <c r="W497" i="1"/>
  <c r="BP497" i="1" s="1"/>
  <c r="W498" i="1"/>
  <c r="BP498" i="1" s="1"/>
  <c r="W499" i="1"/>
  <c r="BP499" i="1" s="1"/>
  <c r="W500" i="1"/>
  <c r="BP500" i="1" s="1"/>
  <c r="W501" i="1"/>
  <c r="BP501" i="1" s="1"/>
  <c r="W502" i="1"/>
  <c r="W503" i="1"/>
  <c r="BP503" i="1" s="1"/>
  <c r="W504" i="1"/>
  <c r="W505" i="1"/>
  <c r="W506" i="1"/>
  <c r="W507" i="1"/>
  <c r="BP507" i="1" s="1"/>
  <c r="W508" i="1"/>
  <c r="BP508" i="1" s="1"/>
  <c r="W509" i="1"/>
  <c r="W510" i="1"/>
  <c r="BP510" i="1" s="1"/>
  <c r="W511" i="1"/>
  <c r="W512" i="1"/>
  <c r="BP512" i="1" s="1"/>
  <c r="W513" i="1"/>
  <c r="BP513" i="1" s="1"/>
  <c r="W514" i="1"/>
  <c r="BP514" i="1" s="1"/>
  <c r="W515" i="1"/>
  <c r="BP515" i="1" s="1"/>
  <c r="W516" i="1"/>
  <c r="BP516" i="1" s="1"/>
  <c r="W517" i="1"/>
  <c r="BP517" i="1" s="1"/>
  <c r="W518" i="1"/>
  <c r="W519" i="1"/>
  <c r="BP519" i="1" s="1"/>
  <c r="W520" i="1"/>
  <c r="W521" i="1"/>
  <c r="W522" i="1"/>
  <c r="W523" i="1"/>
  <c r="BP523" i="1" s="1"/>
  <c r="W524" i="1"/>
  <c r="BP524" i="1" s="1"/>
  <c r="W525" i="1"/>
  <c r="W526" i="1"/>
  <c r="BP526" i="1" s="1"/>
  <c r="W527" i="1"/>
  <c r="W528" i="1"/>
  <c r="BP528" i="1" s="1"/>
  <c r="W529" i="1"/>
  <c r="BP529" i="1" s="1"/>
  <c r="W530" i="1"/>
  <c r="BP530" i="1" s="1"/>
  <c r="W531" i="1"/>
  <c r="BP531" i="1" s="1"/>
  <c r="W532" i="1"/>
  <c r="BP532" i="1" s="1"/>
  <c r="W533" i="1"/>
  <c r="BP533" i="1" s="1"/>
  <c r="W534" i="1"/>
  <c r="W535" i="1"/>
  <c r="BP535" i="1" s="1"/>
  <c r="W536" i="1"/>
  <c r="W537" i="1"/>
  <c r="W538" i="1"/>
  <c r="W539" i="1"/>
  <c r="BP539" i="1" s="1"/>
  <c r="W540" i="1"/>
  <c r="BP540" i="1" s="1"/>
  <c r="W541" i="1"/>
  <c r="W542" i="1"/>
  <c r="BP542" i="1" s="1"/>
  <c r="W543" i="1"/>
  <c r="W544" i="1"/>
  <c r="BP544" i="1" s="1"/>
  <c r="W545" i="1"/>
  <c r="BP545" i="1" s="1"/>
  <c r="W546" i="1"/>
  <c r="BP546" i="1" s="1"/>
  <c r="W547" i="1"/>
  <c r="BP547" i="1" s="1"/>
  <c r="W548" i="1"/>
  <c r="BP548" i="1" s="1"/>
  <c r="W549" i="1"/>
  <c r="BP549" i="1" s="1"/>
  <c r="W550" i="1"/>
  <c r="W551" i="1"/>
  <c r="BP551" i="1" s="1"/>
  <c r="W552" i="1"/>
  <c r="W553" i="1"/>
  <c r="W554" i="1"/>
  <c r="W555" i="1"/>
  <c r="BP555" i="1" s="1"/>
  <c r="W556" i="1"/>
  <c r="BP556" i="1" s="1"/>
  <c r="W557" i="1"/>
  <c r="W558" i="1"/>
  <c r="BP558" i="1" s="1"/>
  <c r="W559" i="1"/>
  <c r="W560" i="1"/>
  <c r="BP560" i="1" s="1"/>
  <c r="W561" i="1"/>
  <c r="BP561" i="1" s="1"/>
  <c r="W562" i="1"/>
  <c r="BP562" i="1" s="1"/>
  <c r="W563" i="1"/>
  <c r="BP563" i="1" s="1"/>
  <c r="W564" i="1"/>
  <c r="BP564" i="1" s="1"/>
  <c r="W565" i="1"/>
  <c r="BP565" i="1" s="1"/>
  <c r="W566" i="1"/>
  <c r="W567" i="1"/>
  <c r="BP567" i="1" s="1"/>
  <c r="W568" i="1"/>
  <c r="W569" i="1"/>
  <c r="W570" i="1"/>
  <c r="W571" i="1"/>
  <c r="BP571" i="1" s="1"/>
  <c r="W572" i="1"/>
  <c r="BP572" i="1" s="1"/>
  <c r="W573" i="1"/>
  <c r="W574" i="1"/>
  <c r="BP574" i="1" s="1"/>
  <c r="W575" i="1"/>
  <c r="W576" i="1"/>
  <c r="BP576" i="1" s="1"/>
  <c r="W577" i="1"/>
  <c r="BP577" i="1" s="1"/>
  <c r="W578" i="1"/>
  <c r="BP578" i="1" s="1"/>
  <c r="W579" i="1"/>
  <c r="BP579" i="1" s="1"/>
  <c r="W580" i="1"/>
  <c r="W581" i="1"/>
  <c r="BP581" i="1" s="1"/>
  <c r="W582" i="1"/>
  <c r="W583" i="1"/>
  <c r="BP583" i="1" s="1"/>
  <c r="W584" i="1"/>
  <c r="W585" i="1"/>
  <c r="W586" i="1"/>
  <c r="W587" i="1"/>
  <c r="BP587" i="1" s="1"/>
  <c r="W588" i="1"/>
  <c r="BP588" i="1" s="1"/>
  <c r="W589" i="1"/>
  <c r="W590" i="1"/>
  <c r="BP590" i="1" s="1"/>
  <c r="W591" i="1"/>
  <c r="W592" i="1"/>
  <c r="BP592" i="1" s="1"/>
  <c r="W593" i="1"/>
  <c r="BP593" i="1" s="1"/>
  <c r="W594" i="1"/>
  <c r="BP594" i="1" s="1"/>
  <c r="W595" i="1"/>
  <c r="BP595" i="1" s="1"/>
  <c r="W596" i="1"/>
  <c r="W597" i="1"/>
  <c r="BP597" i="1" s="1"/>
  <c r="W598" i="1"/>
  <c r="W599" i="1"/>
  <c r="BP599" i="1" s="1"/>
  <c r="W600" i="1"/>
  <c r="W601" i="1"/>
  <c r="W602" i="1"/>
  <c r="W603" i="1"/>
  <c r="BP603" i="1" s="1"/>
  <c r="W604" i="1"/>
  <c r="BP604" i="1" s="1"/>
  <c r="W605" i="1"/>
  <c r="W606" i="1"/>
  <c r="BP606" i="1" s="1"/>
  <c r="W607" i="1"/>
  <c r="W608" i="1"/>
  <c r="BP608" i="1" s="1"/>
  <c r="W609" i="1"/>
  <c r="BP609" i="1" s="1"/>
  <c r="W610" i="1"/>
  <c r="BP610" i="1" s="1"/>
  <c r="W611" i="1"/>
  <c r="BP611" i="1" s="1"/>
  <c r="W612" i="1"/>
  <c r="W613" i="1"/>
  <c r="BP613" i="1" s="1"/>
  <c r="W614" i="1"/>
  <c r="W615" i="1"/>
  <c r="BP615" i="1" s="1"/>
  <c r="W616" i="1"/>
  <c r="W617" i="1"/>
  <c r="W2" i="1"/>
  <c r="BQ226" i="1" l="1"/>
  <c r="BQ210" i="1"/>
  <c r="BQ194" i="1"/>
  <c r="BQ178" i="1"/>
  <c r="BQ162" i="1"/>
  <c r="BQ2" i="1"/>
  <c r="BQ602" i="1"/>
  <c r="BQ586" i="1"/>
  <c r="BQ570" i="1"/>
  <c r="BQ554" i="1"/>
  <c r="BQ538" i="1"/>
  <c r="BQ522" i="1"/>
  <c r="BQ506" i="1"/>
  <c r="BQ490" i="1"/>
  <c r="BQ474" i="1"/>
  <c r="BQ458" i="1"/>
  <c r="BQ442" i="1"/>
  <c r="BQ426" i="1"/>
  <c r="BQ410" i="1"/>
  <c r="BQ394" i="1"/>
  <c r="BQ225" i="1"/>
  <c r="BQ209" i="1"/>
  <c r="BQ193" i="1"/>
  <c r="BQ177" i="1"/>
  <c r="BQ161" i="1"/>
  <c r="BQ617" i="1"/>
  <c r="BQ601" i="1"/>
  <c r="BQ585" i="1"/>
  <c r="BQ569" i="1"/>
  <c r="BQ553" i="1"/>
  <c r="BQ537" i="1"/>
  <c r="BQ521" i="1"/>
  <c r="BQ505" i="1"/>
  <c r="BQ489" i="1"/>
  <c r="BQ473" i="1"/>
  <c r="BQ457" i="1"/>
  <c r="BQ441" i="1"/>
  <c r="BQ425" i="1"/>
  <c r="BQ409" i="1"/>
  <c r="BQ393" i="1"/>
  <c r="BQ224" i="1"/>
  <c r="BQ208" i="1"/>
  <c r="BQ192" i="1"/>
  <c r="BQ176" i="1"/>
  <c r="BQ160" i="1"/>
  <c r="BQ616" i="1"/>
  <c r="BQ600" i="1"/>
  <c r="BQ584" i="1"/>
  <c r="BQ568" i="1"/>
  <c r="BQ552" i="1"/>
  <c r="BQ536" i="1"/>
  <c r="BQ520" i="1"/>
  <c r="BQ504" i="1"/>
  <c r="BQ488" i="1"/>
  <c r="BQ472" i="1"/>
  <c r="BQ456" i="1"/>
  <c r="BQ440" i="1"/>
  <c r="BQ424" i="1"/>
  <c r="BQ408" i="1"/>
  <c r="BQ392" i="1"/>
  <c r="BP607" i="1"/>
  <c r="BP591" i="1"/>
  <c r="BP575" i="1"/>
  <c r="BP559" i="1"/>
  <c r="BP543" i="1"/>
  <c r="BP527" i="1"/>
  <c r="BP511" i="1"/>
  <c r="BP495" i="1"/>
  <c r="BP479" i="1"/>
  <c r="BP463" i="1"/>
  <c r="BP447" i="1"/>
  <c r="BP431" i="1"/>
  <c r="BP415" i="1"/>
  <c r="BP399" i="1"/>
  <c r="BP383" i="1"/>
  <c r="BP367" i="1"/>
  <c r="BP351" i="1"/>
  <c r="BP335" i="1"/>
  <c r="BP319" i="1"/>
  <c r="BP303" i="1"/>
  <c r="BP287" i="1"/>
  <c r="BP271" i="1"/>
  <c r="BP255" i="1"/>
  <c r="BP239" i="1"/>
  <c r="BP223" i="1"/>
  <c r="BP207" i="1"/>
  <c r="BP191" i="1"/>
  <c r="BP175" i="1"/>
  <c r="BP159" i="1"/>
  <c r="BP143" i="1"/>
  <c r="BP127" i="1"/>
  <c r="BP111" i="1"/>
  <c r="BP95" i="1"/>
  <c r="BP79" i="1"/>
  <c r="BP63" i="1"/>
  <c r="BP47" i="1"/>
  <c r="BP31" i="1"/>
  <c r="BP15" i="1"/>
  <c r="BQ615" i="1"/>
  <c r="BQ599" i="1"/>
  <c r="BQ583" i="1"/>
  <c r="BP605" i="1"/>
  <c r="BP589" i="1"/>
  <c r="BP573" i="1"/>
  <c r="BP557" i="1"/>
  <c r="BP525" i="1"/>
  <c r="BP509" i="1"/>
  <c r="BP493" i="1"/>
  <c r="BP477" i="1"/>
  <c r="BP461" i="1"/>
  <c r="BP445" i="1"/>
  <c r="BP429" i="1"/>
  <c r="BP413" i="1"/>
  <c r="BP397" i="1"/>
  <c r="BP381" i="1"/>
  <c r="BP365" i="1"/>
  <c r="BP349" i="1"/>
  <c r="BP333" i="1"/>
  <c r="BP317" i="1"/>
  <c r="BP301" i="1"/>
  <c r="BP285" i="1"/>
  <c r="BP269" i="1"/>
  <c r="BP253" i="1"/>
  <c r="BP237" i="1"/>
  <c r="BP221" i="1"/>
  <c r="BP205" i="1"/>
  <c r="BP189" i="1"/>
  <c r="BP173" i="1"/>
  <c r="BP157" i="1"/>
  <c r="BP141" i="1"/>
  <c r="BP125" i="1"/>
  <c r="BP109" i="1"/>
  <c r="BP93" i="1"/>
  <c r="BP77" i="1"/>
  <c r="BP61" i="1"/>
  <c r="BP45" i="1"/>
  <c r="BP29" i="1"/>
  <c r="BP13" i="1"/>
  <c r="BQ221" i="1"/>
  <c r="BQ205" i="1"/>
  <c r="BQ189" i="1"/>
  <c r="BQ173" i="1"/>
  <c r="BQ157" i="1"/>
  <c r="BQ613" i="1"/>
  <c r="BQ597" i="1"/>
  <c r="BQ581" i="1"/>
  <c r="BQ565" i="1"/>
  <c r="BQ549" i="1"/>
  <c r="BQ533" i="1"/>
  <c r="BQ517" i="1"/>
  <c r="BQ501" i="1"/>
  <c r="BQ485" i="1"/>
  <c r="BQ469" i="1"/>
  <c r="BQ453" i="1"/>
  <c r="BQ437" i="1"/>
  <c r="BQ421" i="1"/>
  <c r="BQ405" i="1"/>
  <c r="BQ389" i="1"/>
  <c r="BQ5" i="1"/>
  <c r="BQ612" i="1"/>
  <c r="BQ596" i="1"/>
  <c r="BQ580" i="1"/>
  <c r="BQ564" i="1"/>
  <c r="BQ548" i="1"/>
  <c r="BQ532" i="1"/>
  <c r="BQ516" i="1"/>
  <c r="BQ500" i="1"/>
  <c r="BQ484" i="1"/>
  <c r="BQ468" i="1"/>
  <c r="BQ452" i="1"/>
  <c r="BQ436" i="1"/>
  <c r="BQ420" i="1"/>
  <c r="BQ404" i="1"/>
  <c r="BQ388" i="1"/>
  <c r="BQ4" i="1"/>
  <c r="BP11" i="1"/>
  <c r="BQ203" i="1"/>
  <c r="BQ171" i="1"/>
  <c r="BQ595" i="1"/>
  <c r="BQ579" i="1"/>
  <c r="BQ515" i="1"/>
  <c r="BQ483" i="1"/>
  <c r="BQ451" i="1"/>
  <c r="BQ419" i="1"/>
  <c r="BQ387" i="1"/>
  <c r="BP602" i="1"/>
  <c r="BP570" i="1"/>
  <c r="BP538" i="1"/>
  <c r="BP506" i="1"/>
  <c r="BP474" i="1"/>
  <c r="BP442" i="1"/>
  <c r="BP410" i="1"/>
  <c r="BP378" i="1"/>
  <c r="BP362" i="1"/>
  <c r="BP330" i="1"/>
  <c r="BP298" i="1"/>
  <c r="BP266" i="1"/>
  <c r="BP234" i="1"/>
  <c r="BP202" i="1"/>
  <c r="BP170" i="1"/>
  <c r="BP138" i="1"/>
  <c r="BP122" i="1"/>
  <c r="BP90" i="1"/>
  <c r="BP58" i="1"/>
  <c r="BP26" i="1"/>
  <c r="BQ610" i="1"/>
  <c r="BQ594" i="1"/>
  <c r="BQ578" i="1"/>
  <c r="BP617" i="1"/>
  <c r="BP601" i="1"/>
  <c r="BP585" i="1"/>
  <c r="BP569" i="1"/>
  <c r="BP553" i="1"/>
  <c r="BP537" i="1"/>
  <c r="BP521" i="1"/>
  <c r="BP505" i="1"/>
  <c r="BP489" i="1"/>
  <c r="BP473" i="1"/>
  <c r="BP457" i="1"/>
  <c r="BP441" i="1"/>
  <c r="BP425" i="1"/>
  <c r="BP409" i="1"/>
  <c r="BP393" i="1"/>
  <c r="BP377" i="1"/>
  <c r="BP361" i="1"/>
  <c r="BP345" i="1"/>
  <c r="BP329" i="1"/>
  <c r="BP313" i="1"/>
  <c r="BP297" i="1"/>
  <c r="BP281" i="1"/>
  <c r="BP265" i="1"/>
  <c r="BP249" i="1"/>
  <c r="BP233" i="1"/>
  <c r="BP217" i="1"/>
  <c r="BP201" i="1"/>
  <c r="BP185" i="1"/>
  <c r="BP169" i="1"/>
  <c r="BP153" i="1"/>
  <c r="BP137" i="1"/>
  <c r="BP121" i="1"/>
  <c r="BP105" i="1"/>
  <c r="BP89" i="1"/>
  <c r="BP73" i="1"/>
  <c r="BP57" i="1"/>
  <c r="BP41" i="1"/>
  <c r="BP25" i="1"/>
  <c r="BP9" i="1"/>
  <c r="BQ609" i="1"/>
  <c r="BQ593" i="1"/>
  <c r="BQ577" i="1"/>
  <c r="BQ219" i="1"/>
  <c r="BQ187" i="1"/>
  <c r="BQ611" i="1"/>
  <c r="BQ547" i="1"/>
  <c r="BQ499" i="1"/>
  <c r="BQ467" i="1"/>
  <c r="BQ435" i="1"/>
  <c r="BQ403" i="1"/>
  <c r="BP2" i="1"/>
  <c r="BP586" i="1"/>
  <c r="BP554" i="1"/>
  <c r="BP522" i="1"/>
  <c r="BP490" i="1"/>
  <c r="BP458" i="1"/>
  <c r="BP426" i="1"/>
  <c r="BP394" i="1"/>
  <c r="BP346" i="1"/>
  <c r="BP314" i="1"/>
  <c r="BP282" i="1"/>
  <c r="BP250" i="1"/>
  <c r="BP218" i="1"/>
  <c r="BP186" i="1"/>
  <c r="BP154" i="1"/>
  <c r="BP106" i="1"/>
  <c r="BP74" i="1"/>
  <c r="BP42" i="1"/>
  <c r="BP10" i="1"/>
  <c r="BP616" i="1"/>
  <c r="BP600" i="1"/>
  <c r="BP584" i="1"/>
  <c r="BP568" i="1"/>
  <c r="BP552" i="1"/>
  <c r="BP536" i="1"/>
  <c r="BP520" i="1"/>
  <c r="BP504" i="1"/>
  <c r="BP488" i="1"/>
  <c r="BP472" i="1"/>
  <c r="BP456" i="1"/>
  <c r="BP440" i="1"/>
  <c r="BP424" i="1"/>
  <c r="BP408" i="1"/>
  <c r="BP392" i="1"/>
  <c r="BP376" i="1"/>
  <c r="BP360" i="1"/>
  <c r="BP344" i="1"/>
  <c r="BP328" i="1"/>
  <c r="BP312" i="1"/>
  <c r="BP296" i="1"/>
  <c r="BP280" i="1"/>
  <c r="BP264" i="1"/>
  <c r="BP248" i="1"/>
  <c r="BP232" i="1"/>
  <c r="BP216" i="1"/>
  <c r="BP200" i="1"/>
  <c r="BP184" i="1"/>
  <c r="BP168" i="1"/>
  <c r="BP152" i="1"/>
  <c r="BP136" i="1"/>
  <c r="BP120" i="1"/>
  <c r="BP104" i="1"/>
  <c r="BP88" i="1"/>
  <c r="BP72" i="1"/>
  <c r="BP56" i="1"/>
  <c r="BP40" i="1"/>
  <c r="BP24" i="1"/>
  <c r="BP8" i="1"/>
  <c r="BQ608" i="1"/>
  <c r="BQ592" i="1"/>
  <c r="BQ576" i="1"/>
  <c r="BQ231" i="1"/>
  <c r="BQ215" i="1"/>
  <c r="BQ199" i="1"/>
  <c r="BQ183" i="1"/>
  <c r="BQ167" i="1"/>
  <c r="BQ607" i="1"/>
  <c r="BQ591" i="1"/>
  <c r="BQ575" i="1"/>
  <c r="BQ559" i="1"/>
  <c r="BQ543" i="1"/>
  <c r="BQ527" i="1"/>
  <c r="BQ511" i="1"/>
  <c r="BQ495" i="1"/>
  <c r="BQ479" i="1"/>
  <c r="BQ463" i="1"/>
  <c r="BQ447" i="1"/>
  <c r="BQ431" i="1"/>
  <c r="BQ415" i="1"/>
  <c r="BQ399" i="1"/>
  <c r="BP43" i="1"/>
  <c r="BQ531" i="1"/>
  <c r="BP614" i="1"/>
  <c r="BP598" i="1"/>
  <c r="BP582" i="1"/>
  <c r="BP566" i="1"/>
  <c r="BP550" i="1"/>
  <c r="BP534" i="1"/>
  <c r="BP518" i="1"/>
  <c r="BP502" i="1"/>
  <c r="BP486" i="1"/>
  <c r="BP470" i="1"/>
  <c r="BP454" i="1"/>
  <c r="BP438" i="1"/>
  <c r="BP422" i="1"/>
  <c r="BP406" i="1"/>
  <c r="BP390" i="1"/>
  <c r="BP374" i="1"/>
  <c r="BP358" i="1"/>
  <c r="BP342" i="1"/>
  <c r="BP326" i="1"/>
  <c r="BP294" i="1"/>
  <c r="BP278" i="1"/>
  <c r="BP262" i="1"/>
  <c r="BP246" i="1"/>
  <c r="BP230" i="1"/>
  <c r="BP214" i="1"/>
  <c r="BP198" i="1"/>
  <c r="BP182" i="1"/>
  <c r="BP166" i="1"/>
  <c r="BP150" i="1"/>
  <c r="BP134" i="1"/>
  <c r="BP118" i="1"/>
  <c r="BP102" i="1"/>
  <c r="BP86" i="1"/>
  <c r="BP70" i="1"/>
  <c r="BP54" i="1"/>
  <c r="BP38" i="1"/>
  <c r="BP22" i="1"/>
  <c r="BP6" i="1"/>
  <c r="BQ230" i="1"/>
  <c r="BQ214" i="1"/>
  <c r="BQ198" i="1"/>
  <c r="BQ182" i="1"/>
  <c r="BQ166" i="1"/>
  <c r="BQ606" i="1"/>
  <c r="BQ590" i="1"/>
  <c r="BQ574" i="1"/>
  <c r="BQ558" i="1"/>
  <c r="BQ542" i="1"/>
  <c r="BQ526" i="1"/>
  <c r="BQ510" i="1"/>
  <c r="BQ494" i="1"/>
  <c r="BQ478" i="1"/>
  <c r="BQ462" i="1"/>
  <c r="BQ446" i="1"/>
  <c r="BQ430" i="1"/>
  <c r="BQ414" i="1"/>
  <c r="BQ398" i="1"/>
  <c r="BP27" i="1"/>
  <c r="BQ563" i="1"/>
  <c r="BP612" i="1"/>
  <c r="BP596" i="1"/>
  <c r="BP580" i="1"/>
  <c r="BQ604" i="1"/>
  <c r="BQ588" i="1"/>
  <c r="BQ572" i="1"/>
  <c r="BQ556" i="1"/>
  <c r="BQ540" i="1"/>
  <c r="BQ524" i="1"/>
  <c r="BQ508" i="1"/>
  <c r="BQ492" i="1"/>
  <c r="BQ476" i="1"/>
  <c r="BQ460" i="1"/>
  <c r="BQ444" i="1"/>
  <c r="BQ428" i="1"/>
  <c r="BQ412" i="1"/>
  <c r="BQ396" i="1"/>
  <c r="BQ6" i="1"/>
  <c r="BQ10" i="1"/>
  <c r="BQ13" i="1"/>
  <c r="BQ15" i="1"/>
  <c r="BQ17" i="1"/>
  <c r="BQ19" i="1"/>
  <c r="BQ21" i="1"/>
  <c r="BQ23" i="1"/>
  <c r="BQ25" i="1"/>
  <c r="BQ27" i="1"/>
  <c r="BQ29" i="1"/>
  <c r="BQ31" i="1"/>
  <c r="BQ33" i="1"/>
  <c r="BQ35" i="1"/>
  <c r="BQ36" i="1"/>
  <c r="BQ38" i="1"/>
  <c r="BQ39" i="1"/>
  <c r="BQ40" i="1"/>
  <c r="BQ41" i="1"/>
  <c r="BQ65" i="1"/>
  <c r="BQ67" i="1"/>
  <c r="BQ69" i="1"/>
  <c r="BQ73" i="1"/>
  <c r="BQ76" i="1"/>
  <c r="BQ79" i="1"/>
  <c r="BQ82" i="1"/>
  <c r="BQ84" i="1"/>
  <c r="BQ87" i="1"/>
  <c r="BQ90" i="1"/>
  <c r="BQ92" i="1"/>
  <c r="BQ94" i="1"/>
  <c r="BQ97" i="1"/>
  <c r="BQ100" i="1"/>
  <c r="BQ103" i="1"/>
  <c r="BQ106" i="1"/>
  <c r="BQ109" i="1"/>
  <c r="BQ112" i="1"/>
  <c r="BQ115" i="1"/>
  <c r="BQ117" i="1"/>
  <c r="BQ120" i="1"/>
  <c r="BQ123" i="1"/>
  <c r="BQ125" i="1"/>
  <c r="BQ128" i="1"/>
  <c r="BQ131" i="1"/>
  <c r="BQ134" i="1"/>
  <c r="BQ137" i="1"/>
  <c r="BQ139" i="1"/>
  <c r="BQ142" i="1"/>
  <c r="BQ146" i="1"/>
  <c r="BQ150" i="1"/>
  <c r="BQ153" i="1"/>
  <c r="BQ3" i="1"/>
  <c r="BQ7" i="1"/>
  <c r="BQ8" i="1"/>
  <c r="BQ9" i="1"/>
  <c r="BQ11" i="1"/>
  <c r="BQ12" i="1"/>
  <c r="BQ14" i="1"/>
  <c r="BQ16" i="1"/>
  <c r="BQ18" i="1"/>
  <c r="BQ20" i="1"/>
  <c r="BQ22" i="1"/>
  <c r="BQ24" i="1"/>
  <c r="BQ26" i="1"/>
  <c r="BQ28" i="1"/>
  <c r="BQ30" i="1"/>
  <c r="BQ32" i="1"/>
  <c r="BQ34" i="1"/>
  <c r="BQ37" i="1"/>
  <c r="BQ71" i="1"/>
  <c r="BQ74" i="1"/>
  <c r="BQ78" i="1"/>
  <c r="BQ81" i="1"/>
  <c r="BQ85" i="1"/>
  <c r="BQ88" i="1"/>
  <c r="BQ91" i="1"/>
  <c r="BQ95" i="1"/>
  <c r="BQ98" i="1"/>
  <c r="BQ102" i="1"/>
  <c r="BQ105" i="1"/>
  <c r="BQ108" i="1"/>
  <c r="BQ111" i="1"/>
  <c r="BQ114" i="1"/>
  <c r="BQ119" i="1"/>
  <c r="BQ121" i="1"/>
  <c r="BQ124" i="1"/>
  <c r="BQ127" i="1"/>
  <c r="BQ129" i="1"/>
  <c r="BQ132" i="1"/>
  <c r="BQ141" i="1"/>
  <c r="BQ144" i="1"/>
  <c r="BQ147" i="1"/>
  <c r="BQ149" i="1"/>
  <c r="BQ151" i="1"/>
  <c r="BQ155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6" i="1"/>
  <c r="BQ68" i="1"/>
  <c r="BQ70" i="1"/>
  <c r="BQ72" i="1"/>
  <c r="BQ75" i="1"/>
  <c r="BQ77" i="1"/>
  <c r="BQ80" i="1"/>
  <c r="BQ83" i="1"/>
  <c r="BQ86" i="1"/>
  <c r="BQ89" i="1"/>
  <c r="BQ93" i="1"/>
  <c r="BQ96" i="1"/>
  <c r="BQ99" i="1"/>
  <c r="BQ101" i="1"/>
  <c r="BQ104" i="1"/>
  <c r="BQ107" i="1"/>
  <c r="BQ110" i="1"/>
  <c r="BQ113" i="1"/>
  <c r="BQ116" i="1"/>
  <c r="BQ118" i="1"/>
  <c r="BQ122" i="1"/>
  <c r="BQ126" i="1"/>
  <c r="BQ130" i="1"/>
  <c r="BQ133" i="1"/>
  <c r="BQ135" i="1"/>
  <c r="BQ136" i="1"/>
  <c r="BQ138" i="1"/>
  <c r="BQ140" i="1"/>
  <c r="BQ143" i="1"/>
  <c r="BQ145" i="1"/>
  <c r="BQ148" i="1"/>
  <c r="BQ152" i="1"/>
  <c r="BQ154" i="1"/>
  <c r="BQ464" i="1"/>
  <c r="BQ233" i="1"/>
  <c r="BP310" i="1"/>
  <c r="BP541" i="1"/>
</calcChain>
</file>

<file path=xl/sharedStrings.xml><?xml version="1.0" encoding="utf-8"?>
<sst xmlns="http://schemas.openxmlformats.org/spreadsheetml/2006/main" count="9032" uniqueCount="2655">
  <si>
    <t>Mod_ID</t>
  </si>
  <si>
    <t>Confidential</t>
  </si>
  <si>
    <t>Make</t>
  </si>
  <si>
    <t>Model</t>
  </si>
  <si>
    <t>Interconnect_Tech</t>
  </si>
  <si>
    <t>Module_Area_(cm2)</t>
  </si>
  <si>
    <t>Junction_Box_Type</t>
  </si>
  <si>
    <t>Cell_Wafer_Type</t>
  </si>
  <si>
    <t>Cell_Tech</t>
  </si>
  <si>
    <t>Cell_Area_(cm2)</t>
  </si>
  <si>
    <t>Total_Exposure</t>
  </si>
  <si>
    <t>Nameplate_Isc_(A)</t>
  </si>
  <si>
    <t>Nameplate_Voc_(V)</t>
  </si>
  <si>
    <t>Nameplate_Imp_(A)</t>
  </si>
  <si>
    <t>Nameplate_Vmp_(V)</t>
  </si>
  <si>
    <t>Nameplate_Pmp_(W)</t>
  </si>
  <si>
    <t>Isc_(A)</t>
  </si>
  <si>
    <t>Voc_(V)</t>
  </si>
  <si>
    <t>Imp_(A)</t>
  </si>
  <si>
    <t>Vmp_(V)</t>
  </si>
  <si>
    <t>Pmp_(W)</t>
  </si>
  <si>
    <t>FF_(percent)</t>
  </si>
  <si>
    <t>Measured_Temperature_(C)</t>
  </si>
  <si>
    <t>Temp_Measurement_Method</t>
  </si>
  <si>
    <t>Voltage_Temperature_Coefficient_(mV/C)</t>
  </si>
  <si>
    <t>Simulator_Make</t>
  </si>
  <si>
    <t>Simulator_Model</t>
  </si>
  <si>
    <t>IV_Date</t>
  </si>
  <si>
    <t>IV_Time</t>
  </si>
  <si>
    <t>IV_Lab_Location</t>
  </si>
  <si>
    <t>Camera_Make</t>
  </si>
  <si>
    <t>Camera_Model</t>
  </si>
  <si>
    <t>Detector_Type</t>
  </si>
  <si>
    <t>Image_Resolution_(MP)</t>
  </si>
  <si>
    <t>Longpass_Filter_Wavelength_(nm)</t>
  </si>
  <si>
    <t>High_Applied_Current_(A)</t>
  </si>
  <si>
    <t>High_Applied_Voltage_(V)</t>
  </si>
  <si>
    <t>High_Sensor_Exposure_Time_(s)</t>
  </si>
  <si>
    <t>Low_Applied_Current_(A)</t>
  </si>
  <si>
    <t>Low_Applied_Voltage_(V)</t>
  </si>
  <si>
    <t>Low_Sensor_Exposure_Time_(s)</t>
  </si>
  <si>
    <t>ISO</t>
  </si>
  <si>
    <t>Aperture</t>
  </si>
  <si>
    <t>High_Temperature_(C)</t>
  </si>
  <si>
    <t>Low_Temperature_(C)</t>
  </si>
  <si>
    <t>Working_Distance_(m)</t>
  </si>
  <si>
    <t>High_EL_Date</t>
  </si>
  <si>
    <t>High_EL_Time</t>
  </si>
  <si>
    <t>Low_EL_Date</t>
  </si>
  <si>
    <t>Low_EL_Time</t>
  </si>
  <si>
    <t>EL_Lab_Location</t>
  </si>
  <si>
    <t>ELHPath</t>
  </si>
  <si>
    <t>ELLPath</t>
  </si>
  <si>
    <t>IVPath</t>
  </si>
  <si>
    <t>Ref</t>
  </si>
  <si>
    <t>Exposure_Step</t>
  </si>
  <si>
    <t>Total_Exposure_Steps</t>
  </si>
  <si>
    <t>RefIVPath</t>
  </si>
  <si>
    <t>RefA</t>
  </si>
  <si>
    <t>RefRefA</t>
  </si>
  <si>
    <t>Ref_IV_Date</t>
  </si>
  <si>
    <t>Ref_IV_Time</t>
  </si>
  <si>
    <t>mono-Si module</t>
  </si>
  <si>
    <t>OE 640 days</t>
  </si>
  <si>
    <t>back of panel</t>
  </si>
  <si>
    <t>SPIRE</t>
  </si>
  <si>
    <t>4600SLP</t>
  </si>
  <si>
    <t>1/24/2020</t>
  </si>
  <si>
    <t>PSEL</t>
  </si>
  <si>
    <t>FLI Proline</t>
  </si>
  <si>
    <t>1/27/2020</t>
  </si>
  <si>
    <t>./EL/3903_35_1_01272020_80.tiff</t>
  </si>
  <si>
    <t>./EL/3903_35_1_01272020_20.tiff</t>
  </si>
  <si>
    <t>./IV/3903_35_1_01242020.csv</t>
  </si>
  <si>
    <t>./RefIV/3903_35_1_01242020.csv</t>
  </si>
  <si>
    <t>4/24/2018</t>
  </si>
  <si>
    <t>./EL/3887_35_1_01272020_80.tiff</t>
  </si>
  <si>
    <t>./EL/3887_35_1_01272020_20.tiff</t>
  </si>
  <si>
    <t>./IV/3887_35_1_01242020.csv</t>
  </si>
  <si>
    <t>./RefIV/3887_35_1_01242020.csv</t>
  </si>
  <si>
    <t>OE 1024 days</t>
  </si>
  <si>
    <t>2/22/2021</t>
  </si>
  <si>
    <t>./EL/3887_35_1_02222021_80.tiff</t>
  </si>
  <si>
    <t>./EL/3887_35_1_02222021_20.tiff</t>
  </si>
  <si>
    <t>./IV/3887_35_1_02112021.csv</t>
  </si>
  <si>
    <t>./RefIV/3887_35_1_02112021.csv</t>
  </si>
  <si>
    <t>./EL/3899_35_1_01272020_80.tiff</t>
  </si>
  <si>
    <t>./EL/3899_35_1_01272020_20.tiff</t>
  </si>
  <si>
    <t>./IV/3899_35_1_01242020.csv</t>
  </si>
  <si>
    <t>./RefIV/3899_35_1_01242020.csv</t>
  </si>
  <si>
    <t>./EL/3899_35_1_02222021_80.tiff</t>
  </si>
  <si>
    <t>./EL/3899_35_1_02222021_20.tiff</t>
  </si>
  <si>
    <t>./IV/3899_35_1_02112021.csv</t>
  </si>
  <si>
    <t>./RefIV/3899_35_1_02112021.csv</t>
  </si>
  <si>
    <t>./EL/3883_35_1_01272020_80.tiff</t>
  </si>
  <si>
    <t>./EL/3883_35_1_01272020_20.tiff</t>
  </si>
  <si>
    <t>./IV/3883_35_1_01242020.csv</t>
  </si>
  <si>
    <t>./RefIV/3883_35_1_01242020.csv</t>
  </si>
  <si>
    <t>./EL/10085_35_1_01272020_80.tiff</t>
  </si>
  <si>
    <t>./EL/10085_35_1_01272020_20.tiff</t>
  </si>
  <si>
    <t>./IV/10085_35_1_01242020.csv</t>
  </si>
  <si>
    <t>./RefIV/10085_35_1_01242020.csv</t>
  </si>
  <si>
    <t>./EL/10085_35_1_02222021_80.tiff</t>
  </si>
  <si>
    <t>./EL/10085_35_1_02222021_20.tiff</t>
  </si>
  <si>
    <t>./IV/10085_35_1_02112021.csv</t>
  </si>
  <si>
    <t>./RefIV/10085_35_1_02112021.csv</t>
  </si>
  <si>
    <t>./EL/3895_35_1_01272020_80.tiff</t>
  </si>
  <si>
    <t>./EL/3895_35_1_01272020_20.tiff</t>
  </si>
  <si>
    <t>./IV/3895_35_1_01242020.csv</t>
  </si>
  <si>
    <t>./RefIV/3895_35_1_01242020.csv</t>
  </si>
  <si>
    <t>./EL/3905_35_1_01272020_80.tiff</t>
  </si>
  <si>
    <t>./EL/3905_35_1_01272020_20.tiff</t>
  </si>
  <si>
    <t>./IV/3905_35_1_01242020.csv</t>
  </si>
  <si>
    <t>./RefIV/3905_35_1_01242020.csv</t>
  </si>
  <si>
    <t>./EL/3905_35_1_02222021_80.tiff</t>
  </si>
  <si>
    <t>./EL/3905_35_1_02222021_20.tiff</t>
  </si>
  <si>
    <t>./IV/3905_35_1_02112021.csv</t>
  </si>
  <si>
    <t>./RefIV/3905_35_1_02112021.csv</t>
  </si>
  <si>
    <t>./EL/3889_35_1_01272020_80.tiff</t>
  </si>
  <si>
    <t>./EL/3889_35_1_01272020_20.tiff</t>
  </si>
  <si>
    <t>./IV/3889_35_1_01242020.csv</t>
  </si>
  <si>
    <t>./RefIV/3889_35_1_01242020.csv</t>
  </si>
  <si>
    <t>./EL/3886_35_1_01272020_80.tiff</t>
  </si>
  <si>
    <t>./EL/3886_35_1_01272020_20.tiff</t>
  </si>
  <si>
    <t>./IV/3886_35_1_01242020.csv</t>
  </si>
  <si>
    <t>./RefIV/3886_35_1_01242020.csv</t>
  </si>
  <si>
    <t>./EL/3886_35_1_02222021_80.tiff</t>
  </si>
  <si>
    <t>./EL/3886_35_1_02222021_20.tiff</t>
  </si>
  <si>
    <t>./IV/3886_35_1_02112021.csv</t>
  </si>
  <si>
    <t>./RefIV/3886_35_1_02112021.csv</t>
  </si>
  <si>
    <t>./EL/3884_35_1_01272020_80.tiff</t>
  </si>
  <si>
    <t>./EL/3884_35_1_01272020_20.tiff</t>
  </si>
  <si>
    <t>./IV/3884_35_1_01242020.csv</t>
  </si>
  <si>
    <t>./RefIV/3884_35_1_01242020.csv</t>
  </si>
  <si>
    <t>./EL/3884_35_1_02222021_80.tiff</t>
  </si>
  <si>
    <t>./EL/3884_35_1_02222021_20.tiff</t>
  </si>
  <si>
    <t>./IV/3884_35_1_02112021.csv</t>
  </si>
  <si>
    <t>./RefIV/3884_35_1_02112021.csv</t>
  </si>
  <si>
    <t>./EL/10084_35_1_01272020_80.tiff</t>
  </si>
  <si>
    <t>./EL/10084_35_1_01272020_20.tiff</t>
  </si>
  <si>
    <t>./IV/10084_35_1_01242020.csv</t>
  </si>
  <si>
    <t>./RefIV/10084_35_1_01242020.csv</t>
  </si>
  <si>
    <t>./EL/10084_35_1_02222021_80.tiff</t>
  </si>
  <si>
    <t>./EL/10084_35_1_02222021_20.tiff</t>
  </si>
  <si>
    <t>./IV/10084_35_1_02112021.csv</t>
  </si>
  <si>
    <t>./RefIV/10084_35_1_02112021.csv</t>
  </si>
  <si>
    <t>./EL/3904_35_1_01272020_80.tiff</t>
  </si>
  <si>
    <t>./EL/3904_35_1_01272020_20.tiff</t>
  </si>
  <si>
    <t>./IV/3904_35_1_01242020.csv</t>
  </si>
  <si>
    <t>./RefIV/3904_35_1_01242020.csv</t>
  </si>
  <si>
    <t>./EL/3891_35_1_01272020_80.tiff</t>
  </si>
  <si>
    <t>./EL/3891_35_1_01272020_20.tiff</t>
  </si>
  <si>
    <t>./IV/3891_35_1_01242020.csv</t>
  </si>
  <si>
    <t>./RefIV/3891_35_1_01242020.csv</t>
  </si>
  <si>
    <t>./EL/3891_35_1_02222021_80.tiff</t>
  </si>
  <si>
    <t>./EL/3891_35_1_02222021_20.tiff</t>
  </si>
  <si>
    <t>./IV/3891_35_1_02112021.csv</t>
  </si>
  <si>
    <t>./RefIV/3891_35_1_02112021.csv</t>
  </si>
  <si>
    <t>./EL/3894_35_1_01272020_80.tiff</t>
  </si>
  <si>
    <t>./EL/3894_35_1_01272020_20.tiff</t>
  </si>
  <si>
    <t>./IV/3894_35_1_01242020.csv</t>
  </si>
  <si>
    <t>./RefIV/3894_35_1_01242020.csv</t>
  </si>
  <si>
    <t>./EL/3902_35_1_01272020_80.tiff</t>
  </si>
  <si>
    <t>./EL/3902_35_1_01272020_20.tiff</t>
  </si>
  <si>
    <t>./IV/3902_35_1_01242020.csv</t>
  </si>
  <si>
    <t>./RefIV/3902_35_1_01242020.csv</t>
  </si>
  <si>
    <t>./EL/3898_35_1_02222021_80.tiff</t>
  </si>
  <si>
    <t>./EL/3898_35_1_02222021_20.tiff</t>
  </si>
  <si>
    <t>./IV/3898_35_1_02112021.csv</t>
  </si>
  <si>
    <t>./RefIV/3898_35_1_02112021.csv</t>
  </si>
  <si>
    <t>./EL/3907_35_1_02222021_80.tiff</t>
  </si>
  <si>
    <t>./EL/3907_35_1_02222021_20.tiff</t>
  </si>
  <si>
    <t>./IV/3907_35_1_02112021.csv</t>
  </si>
  <si>
    <t>./RefIV/3907_35_1_02112021.csv</t>
  </si>
  <si>
    <t>./EL/3885_35_1_02222021_80.tiff</t>
  </si>
  <si>
    <t>./EL/3885_35_1_02222021_20.tiff</t>
  </si>
  <si>
    <t>./IV/3885_35_1_02112021.csv</t>
  </si>
  <si>
    <t>./RefIV/3885_35_1_02112021.csv</t>
  </si>
  <si>
    <t>./EL/3893_35_1_02222021_80.tiff</t>
  </si>
  <si>
    <t>./EL/3893_35_1_02222021_20.tiff</t>
  </si>
  <si>
    <t>./IV/3893_35_1_02112021.csv</t>
  </si>
  <si>
    <t>./RefIV/3893_35_1_02112021.csv</t>
  </si>
  <si>
    <t>multi-Si module</t>
  </si>
  <si>
    <t>OE 0 days</t>
  </si>
  <si>
    <t>1/20/2020</t>
  </si>
  <si>
    <t>1/17/2020</t>
  </si>
  <si>
    <t>./EL/4482_7_1_01172020_80.tiff</t>
  </si>
  <si>
    <t>./EL/4482_7_1_01172020_20.tiff</t>
  </si>
  <si>
    <t>./IV/4482_7_1_01202020.csv</t>
  </si>
  <si>
    <t>./RefIV/4482_7_1_01202020.csv</t>
  </si>
  <si>
    <t>./EL/4481_7_1_01172020_80.tiff</t>
  </si>
  <si>
    <t>./EL/4481_7_1_01172020_20.tiff</t>
  </si>
  <si>
    <t>./IV/4481_7_1_01202020.csv</t>
  </si>
  <si>
    <t>./RefIV/4481_7_1_01202020.csv</t>
  </si>
  <si>
    <t>./EL/4477_7_1_01172020_80.tiff</t>
  </si>
  <si>
    <t>./EL/4477_7_1_01172020_20.tiff</t>
  </si>
  <si>
    <t>./IV/4477_7_1_01202020.csv</t>
  </si>
  <si>
    <t>./RefIV/4477_7_1_01202020.csv</t>
  </si>
  <si>
    <t>./EL/4474_7_1_01172020_80.tiff</t>
  </si>
  <si>
    <t>./EL/4474_7_1_01172020_20.tiff</t>
  </si>
  <si>
    <t>./IV/4474_7_1_01202020.csv</t>
  </si>
  <si>
    <t>./RefIV/4474_7_1_01202020.csv</t>
  </si>
  <si>
    <t>./EL/4478_7_1_01172020_80.tiff</t>
  </si>
  <si>
    <t>./EL/4478_7_1_01172020_20.tiff</t>
  </si>
  <si>
    <t>./IV/4478_7_1_01202020.csv</t>
  </si>
  <si>
    <t>./RefIV/4478_7_1_01202020.csv</t>
  </si>
  <si>
    <t>./EL/4476_7_1_01172020_80.tiff</t>
  </si>
  <si>
    <t>./EL/4476_7_1_01172020_20.tiff</t>
  </si>
  <si>
    <t>./IV/4476_7_1_01202020.csv</t>
  </si>
  <si>
    <t>./RefIV/4476_7_1_01202020.csv</t>
  </si>
  <si>
    <t>./EL/4479_7_1_01172020_80.tiff</t>
  </si>
  <si>
    <t>./EL/4479_7_1_01172020_20.tiff</t>
  </si>
  <si>
    <t>./IV/4479_7_1_01202020.csv</t>
  </si>
  <si>
    <t>./RefIV/4479_7_1_01202020.csv</t>
  </si>
  <si>
    <t>./EL/4480_7_1_01172020_80.tiff</t>
  </si>
  <si>
    <t>./EL/4480_7_1_01172020_20.tiff</t>
  </si>
  <si>
    <t>./IV/4480_7_1_01202020.csv</t>
  </si>
  <si>
    <t>./RefIV/4480_7_1_01202020.csv</t>
  </si>
  <si>
    <t>./EL/4475_7_1_01172020_80.tiff</t>
  </si>
  <si>
    <t>./EL/4475_7_1_01172020_20.tiff</t>
  </si>
  <si>
    <t>./IV/4475_7_1_01202020.csv</t>
  </si>
  <si>
    <t>./RefIV/4475_7_1_01202020.csv</t>
  </si>
  <si>
    <t>5/17/2017</t>
  </si>
  <si>
    <t>./EL/3602_24_4_05172017_80.tiff</t>
  </si>
  <si>
    <t>./IV/3602_24_4_05082017.csv</t>
  </si>
  <si>
    <t>./RefIV/3602_24_4_05082017.csv</t>
  </si>
  <si>
    <t>OE 1376 days</t>
  </si>
  <si>
    <t>2/24/2021</t>
  </si>
  <si>
    <t>./EL/3602_24_4_02242021_80.tiff</t>
  </si>
  <si>
    <t>./EL/3602_24_4_02242021_20.tiff</t>
  </si>
  <si>
    <t>./IV/3602_24_4_02122021.csv</t>
  </si>
  <si>
    <t>./RefIV/3602_24_4_02122021.csv</t>
  </si>
  <si>
    <t>./EL/3611_24_4_05172017_80.tiff</t>
  </si>
  <si>
    <t>./IV/3611_24_4_05082017.csv</t>
  </si>
  <si>
    <t>./RefIV/3611_24_4_05082017.csv</t>
  </si>
  <si>
    <t>./EL/3611_24_4_02242021_80.tiff</t>
  </si>
  <si>
    <t>./EL/3611_24_4_02242021_20.tiff</t>
  </si>
  <si>
    <t>./IV/3611_24_4_02122021.csv</t>
  </si>
  <si>
    <t>./RefIV/3611_24_4_02122021.csv</t>
  </si>
  <si>
    <t>./EL/3610_24_4_02242021_80.tiff</t>
  </si>
  <si>
    <t>./EL/3610_24_4_02242021_20.tiff</t>
  </si>
  <si>
    <t>./IV/3610_24_4_02122021.csv</t>
  </si>
  <si>
    <t>./RefIV/3610_24_4_02122021.csv</t>
  </si>
  <si>
    <t>./EL/3608_24_4_02242021_80.tiff</t>
  </si>
  <si>
    <t>./EL/3608_24_4_02242021_20.tiff</t>
  </si>
  <si>
    <t>./IV/3608_24_4_02122021.csv</t>
  </si>
  <si>
    <t>./RefIV/3608_24_4_02122021.csv</t>
  </si>
  <si>
    <t>OE 1022 days</t>
  </si>
  <si>
    <t>./EL/3237_24_4_02242021_80.tiff</t>
  </si>
  <si>
    <t>./EL/3237_24_4_02242021_20.tiff</t>
  </si>
  <si>
    <t>./IV/3237_24_4_02122021.csv</t>
  </si>
  <si>
    <t>./RefIV/3237_24_4_02122021.csv</t>
  </si>
  <si>
    <t>4/27/2018</t>
  </si>
  <si>
    <t>./EL/3236_24_4_02242021_80.tiff</t>
  </si>
  <si>
    <t>./EL/3236_24_4_02242021_20.tiff</t>
  </si>
  <si>
    <t>./IV/3236_24_4_02122021.csv</t>
  </si>
  <si>
    <t>./RefIV/3236_24_4_02122021.csv</t>
  </si>
  <si>
    <t>2/25/2021</t>
  </si>
  <si>
    <t>./EL/3236_24_4_02252021_20.tiff</t>
  </si>
  <si>
    <t>./EL/3609_24_4_02242021_80.tiff</t>
  </si>
  <si>
    <t>./EL/3609_24_4_02242021_20.tiff</t>
  </si>
  <si>
    <t>./IV/3609_24_4_02122021.csv</t>
  </si>
  <si>
    <t>./RefIV/3609_24_4_02122021.csv</t>
  </si>
  <si>
    <t>./EL/3603_24_4_02242021_80.tiff</t>
  </si>
  <si>
    <t>./EL/3603_24_4_02242021_20.tiff</t>
  </si>
  <si>
    <t>./IV/3603_24_4_02122021.csv</t>
  </si>
  <si>
    <t>./RefIV/3603_24_4_02122021.csv</t>
  </si>
  <si>
    <t>./EL/3600_24_4_02242021_80.tiff</t>
  </si>
  <si>
    <t>./EL/3600_24_4_02242021_20.tiff</t>
  </si>
  <si>
    <t>./IV/3600_24_4_02122021.csv</t>
  </si>
  <si>
    <t>./RefIV/3600_24_4_02122021.csv</t>
  </si>
  <si>
    <t>./EL/3607_24_4_02242021_80.tiff</t>
  </si>
  <si>
    <t>./EL/3607_24_4_02242021_20.tiff</t>
  </si>
  <si>
    <t>./IV/3607_24_4_02122021.csv</t>
  </si>
  <si>
    <t>./RefIV/3607_24_4_02122021.csv</t>
  </si>
  <si>
    <t>./EL/3604_24_4_02242021_80.tiff</t>
  </si>
  <si>
    <t>./EL/3604_24_4_02242021_20.tiff</t>
  </si>
  <si>
    <t>./IV/3604_24_4_02122021.csv</t>
  </si>
  <si>
    <t>./RefIV/3604_24_4_02122021.csv</t>
  </si>
  <si>
    <t>OE 1007 days</t>
  </si>
  <si>
    <t>2/26/2021</t>
  </si>
  <si>
    <t>./EL/3932_24_2_02262021_80.tiff</t>
  </si>
  <si>
    <t>./EL/3932_24_2_02262021_20.tiff</t>
  </si>
  <si>
    <t>./IV/3932_24_2_02032021.csv</t>
  </si>
  <si>
    <t>./RefIV/3932_24_2_02032021.csv</t>
  </si>
  <si>
    <t>./EL/3933_24_2_02242021_80.tiff</t>
  </si>
  <si>
    <t>./EL/3933_24_2_02242021_20.tiff</t>
  </si>
  <si>
    <t>./IV/3933_24_2_02032021.csv</t>
  </si>
  <si>
    <t>./RefIV/3933_24_2_02032021.csv</t>
  </si>
  <si>
    <t>OE 1652 days</t>
  </si>
  <si>
    <t>./EL/3502_24_2_02262021_80.tiff</t>
  </si>
  <si>
    <t>./EL/3502_24_2_02262021_20.tiff</t>
  </si>
  <si>
    <t>./IV/3502_24_2_02032021.csv</t>
  </si>
  <si>
    <t>./RefIV/3502_24_2_02032021.csv</t>
  </si>
  <si>
    <t>7/27/2016</t>
  </si>
  <si>
    <t>./EL/3928_24_2_02242021_80.tiff</t>
  </si>
  <si>
    <t>./EL/3928_24_2_02242021_20.tiff</t>
  </si>
  <si>
    <t>./IV/3928_24_2_02032021.csv</t>
  </si>
  <si>
    <t>./RefIV/3928_24_2_02032021.csv</t>
  </si>
  <si>
    <t>OE 1885 days</t>
  </si>
  <si>
    <t>./EL/3179_24_2_02262021_80.tiff</t>
  </si>
  <si>
    <t>./EL/3179_24_2_02262021_20.tiff</t>
  </si>
  <si>
    <t>./IV/3179_24_2_02032021.csv</t>
  </si>
  <si>
    <t>./RefIV/3179_24_2_02032021.csv</t>
  </si>
  <si>
    <t>./EL/3277_24_2_02242021_80.tiff</t>
  </si>
  <si>
    <t>./EL/3277_24_2_02242021_20.tiff</t>
  </si>
  <si>
    <t>./IV/3277_24_2_02032021.csv</t>
  </si>
  <si>
    <t>./RefIV/3277_24_2_02032021.csv</t>
  </si>
  <si>
    <t>./EL/3923_24_2_02262021_80.tiff</t>
  </si>
  <si>
    <t>./EL/3923_24_2_02262021_20.tiff</t>
  </si>
  <si>
    <t>./IV/3923_24_2_02032021.csv</t>
  </si>
  <si>
    <t>./RefIV/3923_24_2_02032021.csv</t>
  </si>
  <si>
    <t>./EL/3929_24_2_02262021_80.tiff</t>
  </si>
  <si>
    <t>./EL/3929_24_2_02262021_20.tiff</t>
  </si>
  <si>
    <t>./IV/3929_24_2_02032021.csv</t>
  </si>
  <si>
    <t>./RefIV/3929_24_2_02032021.csv</t>
  </si>
  <si>
    <t>./EL/3504_24_2_02262021_80.tiff</t>
  </si>
  <si>
    <t>./EL/3504_24_2_02262021_20.tiff</t>
  </si>
  <si>
    <t>./IV/3504_24_2_02032021.csv</t>
  </si>
  <si>
    <t>./RefIV/3504_24_2_02032021.csv</t>
  </si>
  <si>
    <t>./EL/3501_24_2_02262021_80.tiff</t>
  </si>
  <si>
    <t>./EL/3501_24_2_02262021_20.tiff</t>
  </si>
  <si>
    <t>./IV/3501_24_2_02032021.csv</t>
  </si>
  <si>
    <t>./RefIV/3501_24_2_02032021.csv</t>
  </si>
  <si>
    <t>./EL/3500_24_2_02262021_80.tiff</t>
  </si>
  <si>
    <t>./EL/3500_24_2_02262021_20.tiff</t>
  </si>
  <si>
    <t>./IV/3500_24_2_02032021.csv</t>
  </si>
  <si>
    <t>./RefIV/3500_24_2_02032021.csv</t>
  </si>
  <si>
    <t>./EL/3926_24_2_02262021_80.tiff</t>
  </si>
  <si>
    <t>./EL/3926_24_2_02262021_20.tiff</t>
  </si>
  <si>
    <t>./IV/3926_24_2_02032021.csv</t>
  </si>
  <si>
    <t>./RefIV/3926_24_2_02032021.csv</t>
  </si>
  <si>
    <t>./EL/3503_24_2_02242021_80.tiff</t>
  </si>
  <si>
    <t>./EL/3503_24_2_02242021_20.tiff</t>
  </si>
  <si>
    <t>./IV/3503_24_2_02032021.csv</t>
  </si>
  <si>
    <t>./RefIV/3503_24_2_02032021.csv</t>
  </si>
  <si>
    <t>./EL/3930_24_2_02262021_80.tiff</t>
  </si>
  <si>
    <t>./EL/3930_24_2_02262021_20.tiff</t>
  </si>
  <si>
    <t>./IV/3930_24_2_02032021.csv</t>
  </si>
  <si>
    <t>./RefIV/3930_24_2_02032021.csv</t>
  </si>
  <si>
    <t>./EL/3931_24_2_02242021_80.tiff</t>
  </si>
  <si>
    <t>./EL/3931_24_2_02242021_20.tiff</t>
  </si>
  <si>
    <t>./IV/3931_24_2_02032021.csv</t>
  </si>
  <si>
    <t>./RefIV/3931_24_2_02032021.csv</t>
  </si>
  <si>
    <t>./EL/3927_24_2_02242021_80.tiff</t>
  </si>
  <si>
    <t>./EL/3927_24_2_02242021_20.tiff</t>
  </si>
  <si>
    <t>./IV/3927_24_2_02032021.csv</t>
  </si>
  <si>
    <t>./RefIV/3927_24_2_02032021.csv</t>
  </si>
  <si>
    <t>./EL/3924_24_2_02242021_80.tiff</t>
  </si>
  <si>
    <t>./EL/3924_24_2_02242021_20.tiff</t>
  </si>
  <si>
    <t>./IV/3924_24_2_02032021.csv</t>
  </si>
  <si>
    <t>./RefIV/3924_24_2_02032021.csv</t>
  </si>
  <si>
    <t>./EL/3925_24_2_02242021_80.tiff</t>
  </si>
  <si>
    <t>./EL/3925_24_2_02242021_20.tiff</t>
  </si>
  <si>
    <t>./IV/3925_24_2_02032021.csv</t>
  </si>
  <si>
    <t>./RefIV/3925_24_2_02032021.csv</t>
  </si>
  <si>
    <t>./EL/4765_24_3_03012021_80.tiff</t>
  </si>
  <si>
    <t>./EL/4765_24_3_03012021_20.tiff</t>
  </si>
  <si>
    <t>./IV/4765_24_3_02262021.csv</t>
  </si>
  <si>
    <t>./RefIV/4765_24_3_02262021.csv</t>
  </si>
  <si>
    <t>./EL/4760_24_3_03012021_80.tiff</t>
  </si>
  <si>
    <t>./EL/4760_24_3_03012021_20.tiff</t>
  </si>
  <si>
    <t>./IV/4760_24_3_02262021.csv</t>
  </si>
  <si>
    <t>./RefIV/4760_24_3_02262021.csv</t>
  </si>
  <si>
    <t>./EL/4764_24_3_03012021_80.tiff</t>
  </si>
  <si>
    <t>./EL/4764_24_3_03012021_20.tiff</t>
  </si>
  <si>
    <t>./IV/4764_24_3_02262021.csv</t>
  </si>
  <si>
    <t>./RefIV/4764_24_3_02262021.csv</t>
  </si>
  <si>
    <t>OE 1361 days</t>
  </si>
  <si>
    <t>./EL/10105_24_3_03012021_80.tiff</t>
  </si>
  <si>
    <t>./EL/10105_24_3_03012021_20.tiff</t>
  </si>
  <si>
    <t>./IV/10105_24_3_02122021.csv</t>
  </si>
  <si>
    <t>./RefIV/10105_24_3_02122021.csv</t>
  </si>
  <si>
    <t>5/23/2017</t>
  </si>
  <si>
    <t>OE 1576 days</t>
  </si>
  <si>
    <t>./EL/10196_24_3_03012021_80.tiff</t>
  </si>
  <si>
    <t>./EL/10196_24_3_03012021_20.tiff</t>
  </si>
  <si>
    <t>./IV/10196_24_3_02122021.csv</t>
  </si>
  <si>
    <t>./RefIV/10196_24_3_02122021.csv</t>
  </si>
  <si>
    <t>10/20/2016</t>
  </si>
  <si>
    <t>OE 1017 days</t>
  </si>
  <si>
    <t>./EL/3401_24_3_03012021_80.tiff</t>
  </si>
  <si>
    <t>./EL/3401_24_3_03012021_20.tiff</t>
  </si>
  <si>
    <t>./IV/3401_24_3_02122021.csv</t>
  </si>
  <si>
    <t>./RefIV/3401_24_3_02122021.csv</t>
  </si>
  <si>
    <t>./EL/4762_24_3_03012021_80.tiff</t>
  </si>
  <si>
    <t>./EL/4762_24_3_03012021_20.tiff</t>
  </si>
  <si>
    <t>./IV/4762_24_3_02262021.csv</t>
  </si>
  <si>
    <t>./RefIV/4762_24_3_02262021.csv</t>
  </si>
  <si>
    <t>./EL/4761_24_3_03012021_80.tiff</t>
  </si>
  <si>
    <t>./EL/4761_24_3_03012021_20.tiff</t>
  </si>
  <si>
    <t>./IV/4761_24_3_02262021.csv</t>
  </si>
  <si>
    <t>./RefIV/4761_24_3_02262021.csv</t>
  </si>
  <si>
    <t>./EL/4763_24_3_03012021_80.tiff</t>
  </si>
  <si>
    <t>./EL/4763_24_3_03012021_20.tiff</t>
  </si>
  <si>
    <t>./IV/4763_24_3_02262021.csv</t>
  </si>
  <si>
    <t>./RefIV/4763_24_3_02262021.csv</t>
  </si>
  <si>
    <t>./EL/10195_24_3_03012021_80.tiff</t>
  </si>
  <si>
    <t>./EL/10195_24_3_03012021_20.tiff</t>
  </si>
  <si>
    <t>./IV/10195_24_3_02122021.csv</t>
  </si>
  <si>
    <t>./RefIV/10195_24_3_02122021.csv</t>
  </si>
  <si>
    <t>./EL/3400_24_3_03012021_80.tiff</t>
  </si>
  <si>
    <t>./EL/3400_24_3_03012021_20.tiff</t>
  </si>
  <si>
    <t>./IV/3400_24_3_02122021.csv</t>
  </si>
  <si>
    <t>./RefIV/3400_24_3_02122021.csv</t>
  </si>
  <si>
    <t>./EL/10109_24_3_03012021_80.tiff</t>
  </si>
  <si>
    <t>./EL/10109_24_3_03012021_20.tiff</t>
  </si>
  <si>
    <t>./IV/10109_24_3_02122021.csv</t>
  </si>
  <si>
    <t>./RefIV/10109_24_3_02122021.csv</t>
  </si>
  <si>
    <t>./EL/3404_24_3_03012021_80.tiff</t>
  </si>
  <si>
    <t>./EL/3404_24_3_03012021_20.tiff</t>
  </si>
  <si>
    <t>./IV/3404_24_3_02122021.csv</t>
  </si>
  <si>
    <t>./RefIV/3404_24_3_02122021.csv</t>
  </si>
  <si>
    <t>./EL/3399_24_3_03012021_80.tiff</t>
  </si>
  <si>
    <t>./EL/3399_24_3_03012021_20.tiff</t>
  </si>
  <si>
    <t>./IV/3399_24_3_02122021.csv</t>
  </si>
  <si>
    <t>./RefIV/3399_24_3_02122021.csv</t>
  </si>
  <si>
    <t>./EL/3402_24_3_03012021_80.tiff</t>
  </si>
  <si>
    <t>./EL/3402_24_3_03012021_20.tiff</t>
  </si>
  <si>
    <t>./IV/3402_24_3_02122021.csv</t>
  </si>
  <si>
    <t>./RefIV/3402_24_3_02122021.csv</t>
  </si>
  <si>
    <t>OE 886 days</t>
  </si>
  <si>
    <t>./EL/4173_15_3_02032021_20.tiff</t>
  </si>
  <si>
    <t>./IV/4173_15_3_02012021.csv</t>
  </si>
  <si>
    <t>./RefIV/4173_15_3_02012021.csv</t>
  </si>
  <si>
    <t>8/30/2018</t>
  </si>
  <si>
    <t>OE 517 days</t>
  </si>
  <si>
    <t>1/29/2020</t>
  </si>
  <si>
    <t>1/30/2020</t>
  </si>
  <si>
    <t>./EL/4173_15_3_01302020_80.tiff</t>
  </si>
  <si>
    <t>./EL/4173_15_3_01302020_20.tiff</t>
  </si>
  <si>
    <t>./IV/4173_15_3_01292020.csv</t>
  </si>
  <si>
    <t>./RefIV/4173_15_3_01292020.csv</t>
  </si>
  <si>
    <t>./EL/4175_15_3_02032021_80.tiff</t>
  </si>
  <si>
    <t>./EL/4175_15_3_02032021_20.tiff</t>
  </si>
  <si>
    <t>./IV/4175_15_3_02012021.csv</t>
  </si>
  <si>
    <t>./RefIV/4175_15_3_02012021.csv</t>
  </si>
  <si>
    <t>./EL/4175_15_3_01302020_80.tiff</t>
  </si>
  <si>
    <t>./EL/4175_15_3_01302020_20.tiff</t>
  </si>
  <si>
    <t>./IV/4175_15_3_01292020.csv</t>
  </si>
  <si>
    <t>./RefIV/4175_15_3_01292020.csv</t>
  </si>
  <si>
    <t>./EL/4178_15_3_02032021_80.tiff</t>
  </si>
  <si>
    <t>./EL/4178_15_3_02032021_20.tiff</t>
  </si>
  <si>
    <t>./IV/4178_15_3_02012021.csv</t>
  </si>
  <si>
    <t>./RefIV/4178_15_3_02012021.csv</t>
  </si>
  <si>
    <t>./EL/4178_15_3_01302020_80.tiff</t>
  </si>
  <si>
    <t>./EL/4178_15_3_01302020_20.tiff</t>
  </si>
  <si>
    <t>./IV/4178_15_3_01292020.csv</t>
  </si>
  <si>
    <t>./RefIV/4178_15_3_01292020.csv</t>
  </si>
  <si>
    <t>./EL/4174_15_3_02032021_80.tiff</t>
  </si>
  <si>
    <t>./EL/4174_15_3_02032021_20.tiff</t>
  </si>
  <si>
    <t>./IV/4174_15_3_02012021.csv</t>
  </si>
  <si>
    <t>./RefIV/4174_15_3_02012021.csv</t>
  </si>
  <si>
    <t>./EL/4174_15_3_01302020_80.tiff</t>
  </si>
  <si>
    <t>./EL/4174_15_3_01302020_20.tiff</t>
  </si>
  <si>
    <t>./IV/4174_15_3_01292020.csv</t>
  </si>
  <si>
    <t>./RefIV/4174_15_3_01292020.csv</t>
  </si>
  <si>
    <t>./EL/4176_15_3_02032021_80.tiff</t>
  </si>
  <si>
    <t>./EL/4176_15_3_02032021_20.tiff</t>
  </si>
  <si>
    <t>./IV/4176_15_3_02012021.csv</t>
  </si>
  <si>
    <t>./RefIV/4176_15_3_02012021.csv</t>
  </si>
  <si>
    <t>./EL/4176_15_3_01302020_80.tiff</t>
  </si>
  <si>
    <t>./EL/4176_15_3_01302020_20.tiff</t>
  </si>
  <si>
    <t>./IV/4176_15_3_01292020.csv</t>
  </si>
  <si>
    <t>./RefIV/4176_15_3_01292020.csv</t>
  </si>
  <si>
    <t>./EL/4181_15_3_02032021_80.tiff</t>
  </si>
  <si>
    <t>./EL/4181_15_3_02032021_20.tiff</t>
  </si>
  <si>
    <t>./IV/4181_15_3_02012021.csv</t>
  </si>
  <si>
    <t>./RefIV/4181_15_3_02012021.csv</t>
  </si>
  <si>
    <t>./EL/4181_15_3_01302020_80.tiff</t>
  </si>
  <si>
    <t>./EL/4181_15_3_01302020_20.tiff</t>
  </si>
  <si>
    <t>./IV/4181_15_3_01292020.csv</t>
  </si>
  <si>
    <t>./RefIV/4181_15_3_01292020.csv</t>
  </si>
  <si>
    <t>./EL/4182_15_3_02032021_80.tiff</t>
  </si>
  <si>
    <t>./EL/4182_15_3_02032021_20.tiff</t>
  </si>
  <si>
    <t>./IV/4182_15_3_02012021.csv</t>
  </si>
  <si>
    <t>./RefIV/4182_15_3_02012021.csv</t>
  </si>
  <si>
    <t>./EL/4182_15_3_01302020_80.tiff</t>
  </si>
  <si>
    <t>./EL/4182_15_3_01302020_20.tiff</t>
  </si>
  <si>
    <t>./IV/4182_15_3_01292020.csv</t>
  </si>
  <si>
    <t>./RefIV/4182_15_3_01292020.csv</t>
  </si>
  <si>
    <t>./EL/4179_15_3_02032021_80.tiff</t>
  </si>
  <si>
    <t>./EL/4179_15_3_02032021_20.tiff</t>
  </si>
  <si>
    <t>./IV/4179_15_3_02012021.csv</t>
  </si>
  <si>
    <t>./RefIV/4179_15_3_02012021.csv</t>
  </si>
  <si>
    <t>./EL/4179_15_3_01302020_80.tiff</t>
  </si>
  <si>
    <t>./IV/4179_15_3_01292020.csv</t>
  </si>
  <si>
    <t>./RefIV/4179_15_3_01292020.csv</t>
  </si>
  <si>
    <t>./EL/4177_15_3_02032021_80.tiff</t>
  </si>
  <si>
    <t>./EL/4177_15_3_02032021_20.tiff</t>
  </si>
  <si>
    <t>./IV/4177_15_3_02012021.csv</t>
  </si>
  <si>
    <t>./RefIV/4177_15_3_02012021.csv</t>
  </si>
  <si>
    <t>./EL/4177_15_3_01302020_80.tiff</t>
  </si>
  <si>
    <t>./EL/4177_15_3_01302020_20.tiff</t>
  </si>
  <si>
    <t>./IV/4177_15_3_01292020.csv</t>
  </si>
  <si>
    <t>./RefIV/4177_15_3_01292020.csv</t>
  </si>
  <si>
    <t>OE 1575 days</t>
  </si>
  <si>
    <t>2/18/2021</t>
  </si>
  <si>
    <t>./EL/3555_15_1_02182021_80.tiff</t>
  </si>
  <si>
    <t>./EL/3555_15_1_02182021_20.tiff</t>
  </si>
  <si>
    <t>./IV/3555_15_1_02102021.csv</t>
  </si>
  <si>
    <t>./RefIV/3555_15_1_02102021.csv</t>
  </si>
  <si>
    <t>10/19/2016</t>
  </si>
  <si>
    <t>OE 223 days</t>
  </si>
  <si>
    <t>5/30/2017</t>
  </si>
  <si>
    <t>./EL/3555_15_1_05302017_80.tiff</t>
  </si>
  <si>
    <t>./IV/3555_15_1_05302017.csv</t>
  </si>
  <si>
    <t>./RefIV/3555_15_1_05302017.csv</t>
  </si>
  <si>
    <t>OE 1183 days</t>
  </si>
  <si>
    <t>1/15/2020</t>
  </si>
  <si>
    <t>1/14/2020</t>
  </si>
  <si>
    <t>./EL/3555_15_1_01142020_80.tiff</t>
  </si>
  <si>
    <t>./EL/3555_15_1_01142020_20.tiff</t>
  </si>
  <si>
    <t>./IV/3555_15_1_01152020.csv</t>
  </si>
  <si>
    <t>./RefIV/3555_15_1_01152020.csv</t>
  </si>
  <si>
    <t>./EL/3538_15_1_02182021_80.tiff</t>
  </si>
  <si>
    <t>./EL/3538_15_1_02182021_20.tiff</t>
  </si>
  <si>
    <t>./IV/3538_15_1_02102021.csv</t>
  </si>
  <si>
    <t>./RefIV/3538_15_1_02102021.csv</t>
  </si>
  <si>
    <t>./EL/3538_15_1_01142020_80.tiff</t>
  </si>
  <si>
    <t>./EL/3538_15_1_01142020_20.tiff</t>
  </si>
  <si>
    <t>./IV/3538_15_1_01152020.csv</t>
  </si>
  <si>
    <t>./RefIV/3538_15_1_01152020.csv</t>
  </si>
  <si>
    <t>./EL/3545_15_1_02182021_80.tiff</t>
  </si>
  <si>
    <t>./EL/3545_15_1_02182021_20.tiff</t>
  </si>
  <si>
    <t>./IV/3545_15_1_02102021.csv</t>
  </si>
  <si>
    <t>./RefIV/3545_15_1_02102021.csv</t>
  </si>
  <si>
    <t>./EL/3545_15_1_01142020_80.tiff</t>
  </si>
  <si>
    <t>./EL/3545_15_1_01142020_20.tiff</t>
  </si>
  <si>
    <t>./IV/3545_15_1_01152020.csv</t>
  </si>
  <si>
    <t>./RefIV/3545_15_1_01152020.csv</t>
  </si>
  <si>
    <t>./EL/3536_15_1_02182021_80.tiff</t>
  </si>
  <si>
    <t>./EL/3536_15_1_02182021_20.tiff</t>
  </si>
  <si>
    <t>./IV/3536_15_1_02102021.csv</t>
  </si>
  <si>
    <t>./RefIV/3536_15_1_02102021.csv</t>
  </si>
  <si>
    <t>./EL/3534_15_1_02182021_80.tiff</t>
  </si>
  <si>
    <t>./EL/3534_15_1_02182021_20.tiff</t>
  </si>
  <si>
    <t>./IV/3534_15_1_02102021.csv</t>
  </si>
  <si>
    <t>./RefIV/3534_15_1_02102021.csv</t>
  </si>
  <si>
    <t>./EL/3534_15_1_01142020_80.tiff</t>
  </si>
  <si>
    <t>./EL/3534_15_1_01142020_20.tiff</t>
  </si>
  <si>
    <t>./IV/3534_15_1_01152020.csv</t>
  </si>
  <si>
    <t>./RefIV/3534_15_1_01152020.csv</t>
  </si>
  <si>
    <t>./EL/3298_15_2_01142020_80.tiff</t>
  </si>
  <si>
    <t>./EL/3298_15_2_01142020_20.tiff</t>
  </si>
  <si>
    <t>./IV/3298_15_2_01152020.csv</t>
  </si>
  <si>
    <t>./RefIV/3298_15_2_01152020.csv</t>
  </si>
  <si>
    <t>./EL/3286_15_2_02182021_80.tiff</t>
  </si>
  <si>
    <t>./EL/3286_15_2_02182021_20.tiff</t>
  </si>
  <si>
    <t>./IV/3286_15_2_02102021.csv</t>
  </si>
  <si>
    <t>./RefIV/3286_15_2_02102021.csv</t>
  </si>
  <si>
    <t>./EL/10209_15_2_01142020_80.tiff</t>
  </si>
  <si>
    <t>./EL/10209_15_2_01142020_20.tiff</t>
  </si>
  <si>
    <t>./IV/10209_15_2_01152020.csv</t>
  </si>
  <si>
    <t>./RefIV/10209_15_2_01152020.csv</t>
  </si>
  <si>
    <t>./EL/3558_15_1_02182021_80.tiff</t>
  </si>
  <si>
    <t>./EL/3558_15_1_02182021_20.tiff</t>
  </si>
  <si>
    <t>./IV/3558_15_1_02102021.csv</t>
  </si>
  <si>
    <t>./RefIV/3558_15_1_02102021.csv</t>
  </si>
  <si>
    <t>./EL/3558_15_1_01142020_80.tiff</t>
  </si>
  <si>
    <t>./EL/3558_15_1_01142020_20.tiff</t>
  </si>
  <si>
    <t>./IV/3558_15_1_01152020.csv</t>
  </si>
  <si>
    <t>./RefIV/3558_15_1_01152020.csv</t>
  </si>
  <si>
    <t>./EL/3285_15_2_02182021_80.tiff</t>
  </si>
  <si>
    <t>./EL/3285_15_2_02182021_20.tiff</t>
  </si>
  <si>
    <t>./IV/3285_15_2_02102021.csv</t>
  </si>
  <si>
    <t>./RefIV/3285_15_2_02102021.csv</t>
  </si>
  <si>
    <t>./EL/3315_15_2_02182021_80.tiff</t>
  </si>
  <si>
    <t>./EL/3315_15_2_02182021_20.tiff</t>
  </si>
  <si>
    <t>./IV/3315_15_2_02102021.csv</t>
  </si>
  <si>
    <t>./RefIV/3315_15_2_02102021.csv</t>
  </si>
  <si>
    <t>./EL/3315_15_2_01142020_80.tiff</t>
  </si>
  <si>
    <t>./EL/3315_15_2_01142020_20.tiff</t>
  </si>
  <si>
    <t>./IV/3315_15_2_01152020.csv</t>
  </si>
  <si>
    <t>./RefIV/3315_15_2_01152020.csv</t>
  </si>
  <si>
    <t>./EL/3280_15_2_02182021_80.tiff</t>
  </si>
  <si>
    <t>./EL/3280_15_2_02182021_20.tiff</t>
  </si>
  <si>
    <t>./IV/3280_15_2_02102021.csv</t>
  </si>
  <si>
    <t>./RefIV/3280_15_2_02102021.csv</t>
  </si>
  <si>
    <t>./EL/3280_15_2_01142020_80.tiff</t>
  </si>
  <si>
    <t>./EL/3280_15_2_01142020_20.tiff</t>
  </si>
  <si>
    <t>./IV/3280_15_2_01152020.csv</t>
  </si>
  <si>
    <t>./RefIV/3280_15_2_01152020.csv</t>
  </si>
  <si>
    <t>./EL/3305_15_2_02182021_80.tiff</t>
  </si>
  <si>
    <t>./EL/3305_15_2_02182021_20.tiff</t>
  </si>
  <si>
    <t>./IV/3305_15_2_02102021.csv</t>
  </si>
  <si>
    <t>./RefIV/3305_15_2_02102021.csv</t>
  </si>
  <si>
    <t>./EL/3305_15_2_01142020_80.tiff</t>
  </si>
  <si>
    <t>./EL/3305_15_2_01142020_20.tiff</t>
  </si>
  <si>
    <t>./IV/3305_15_2_01152020.csv</t>
  </si>
  <si>
    <t>./RefIV/3305_15_2_01152020.csv</t>
  </si>
  <si>
    <t>./EL/3548_15_1_02182021_80.tiff</t>
  </si>
  <si>
    <t>./EL/3548_15_1_02182021_20.tiff</t>
  </si>
  <si>
    <t>./IV/3548_15_1_02102021.csv</t>
  </si>
  <si>
    <t>./RefIV/3548_15_1_02102021.csv</t>
  </si>
  <si>
    <t>./EL/3549_15_1_02182021_80.tiff</t>
  </si>
  <si>
    <t>./EL/3549_15_1_02182021_20.tiff</t>
  </si>
  <si>
    <t>./IV/3549_15_1_02102021.csv</t>
  </si>
  <si>
    <t>./RefIV/3549_15_1_02102021.csv</t>
  </si>
  <si>
    <t>./EL/3549_15_1_01142020_80.tiff</t>
  </si>
  <si>
    <t>./EL/3549_15_1_01142020_20.tiff</t>
  </si>
  <si>
    <t>./IV/3549_15_1_01152020.csv</t>
  </si>
  <si>
    <t>./RefIV/3549_15_1_01152020.csv</t>
  </si>
  <si>
    <t>./EL/3554_15_1_02182021_80.tiff</t>
  </si>
  <si>
    <t>./EL/3554_15_1_02182021_20.tiff</t>
  </si>
  <si>
    <t>./IV/3554_15_1_02102021.csv</t>
  </si>
  <si>
    <t>./RefIV/3554_15_1_02102021.csv</t>
  </si>
  <si>
    <t>./EL/3311_15_2_02182021_20.tiff</t>
  </si>
  <si>
    <t>./IV/3311_15_2_02102021.csv</t>
  </si>
  <si>
    <t>./RefIV/3311_15_2_02102021.csv</t>
  </si>
  <si>
    <t>./EL/3311_15_2_01142020_80.tiff</t>
  </si>
  <si>
    <t>./EL/3311_15_2_01142020_20.tiff</t>
  </si>
  <si>
    <t>./IV/3311_15_2_01152020.csv</t>
  </si>
  <si>
    <t>./RefIV/3311_15_2_01152020.csv</t>
  </si>
  <si>
    <t>./EL/3547_15_1_01142020_80.tiff</t>
  </si>
  <si>
    <t>./EL/3547_15_1_01142020_20.tiff</t>
  </si>
  <si>
    <t>./IV/3547_15_1_01152020.csv</t>
  </si>
  <si>
    <t>./RefIV/3547_15_1_01152020.csv</t>
  </si>
  <si>
    <t>./EL/3551_15_1_01142020_80.tiff</t>
  </si>
  <si>
    <t>./EL/3551_15_1_01142020_20.tiff</t>
  </si>
  <si>
    <t>./IV/3551_15_1_01152020.csv</t>
  </si>
  <si>
    <t>./RefIV/3551_15_1_01152020.csv</t>
  </si>
  <si>
    <t>./EL/4180_15_3_01302020_80.tiff</t>
  </si>
  <si>
    <t>./EL/4180_15_3_01302020_20.tiff</t>
  </si>
  <si>
    <t>./IV/4180_15_3_01292020.csv</t>
  </si>
  <si>
    <t>./RefIV/4180_15_3_01292020.csv</t>
  </si>
  <si>
    <t>9/14/2018</t>
  </si>
  <si>
    <t>./EL/4188_22_4_09142018_80.tiff</t>
  </si>
  <si>
    <t>./EL/4188_22_4_09142018_20.tiff</t>
  </si>
  <si>
    <t>./IV/4188_22_4_09142018.csv</t>
  </si>
  <si>
    <t>./RefIV/4188_22_4_09142018.csv</t>
  </si>
  <si>
    <t>OE 871 days</t>
  </si>
  <si>
    <t>./EL/4188_22_4_02022021_80.tiff</t>
  </si>
  <si>
    <t>./EL/4188_22_4_02022021_20.tiff</t>
  </si>
  <si>
    <t>./IV/4188_22_4_02012021.csv</t>
  </si>
  <si>
    <t>./RefIV/4188_22_4_02012021.csv</t>
  </si>
  <si>
    <t>./EL/4190_22_4_09142018_80.tiff</t>
  </si>
  <si>
    <t>./EL/4190_22_4_09142018_20.tiff</t>
  </si>
  <si>
    <t>./IV/4190_22_4_09142018.csv</t>
  </si>
  <si>
    <t>./RefIV/4190_22_4_09142018.csv</t>
  </si>
  <si>
    <t>./EL/4194_22_4_09142018_80.tiff</t>
  </si>
  <si>
    <t>./EL/4194_22_4_09142018_20.tiff</t>
  </si>
  <si>
    <t>./IV/4194_22_4_09142018.csv</t>
  </si>
  <si>
    <t>./RefIV/4194_22_4_09142018.csv</t>
  </si>
  <si>
    <t>./EL/4194_22_4_02022021_80.tiff</t>
  </si>
  <si>
    <t>./EL/4194_22_4_02022021_20.tiff</t>
  </si>
  <si>
    <t>./IV/4194_22_4_02012021.csv</t>
  </si>
  <si>
    <t>./RefIV/4194_22_4_02012021.csv</t>
  </si>
  <si>
    <t>./EL/4186_22_4_09142018_80.tiff</t>
  </si>
  <si>
    <t>./EL/4186_22_4_09142018_20.tiff</t>
  </si>
  <si>
    <t>./IV/4186_22_4_09142018.csv</t>
  </si>
  <si>
    <t>./RefIV/4186_22_4_09142018.csv</t>
  </si>
  <si>
    <t>./EL/4186_22_4_02022021_80.tiff</t>
  </si>
  <si>
    <t>./EL/4186_22_4_02022021_20.tiff</t>
  </si>
  <si>
    <t>./IV/4186_22_4_02012021.csv</t>
  </si>
  <si>
    <t>./RefIV/4186_22_4_02012021.csv</t>
  </si>
  <si>
    <t>./EL/4185_22_4_09142018_80.tiff</t>
  </si>
  <si>
    <t>./EL/4185_22_4_09142018_20.tiff</t>
  </si>
  <si>
    <t>./IV/4185_22_4_09142018.csv</t>
  </si>
  <si>
    <t>./RefIV/4185_22_4_09142018.csv</t>
  </si>
  <si>
    <t>./EL/4185_22_4_02022021_80.tiff</t>
  </si>
  <si>
    <t>./EL/4185_22_4_02022021_20.tiff</t>
  </si>
  <si>
    <t>./IV/4185_22_4_02012021.csv</t>
  </si>
  <si>
    <t>./RefIV/4185_22_4_02012021.csv</t>
  </si>
  <si>
    <t>./EL/4189_22_4_09142018_80.tiff</t>
  </si>
  <si>
    <t>./EL/4189_22_4_09142018_20.tiff</t>
  </si>
  <si>
    <t>./IV/4189_22_4_09142018.csv</t>
  </si>
  <si>
    <t>./RefIV/4189_22_4_09142018.csv</t>
  </si>
  <si>
    <t>./EL/4189_22_4_02022021_80.tiff</t>
  </si>
  <si>
    <t>./EL/4189_22_4_02022021_20.tiff</t>
  </si>
  <si>
    <t>./IV/4189_22_4_02012021.csv</t>
  </si>
  <si>
    <t>./RefIV/4189_22_4_02012021.csv</t>
  </si>
  <si>
    <t>./EL/4191_22_4_09142018_80.tiff</t>
  </si>
  <si>
    <t>./EL/4191_22_4_09142018_20.tiff</t>
  </si>
  <si>
    <t>./IV/4191_22_4_09142018.csv</t>
  </si>
  <si>
    <t>./RefIV/4191_22_4_09142018.csv</t>
  </si>
  <si>
    <t>./EL/4191_22_4_02022021_80.tiff</t>
  </si>
  <si>
    <t>./EL/4191_22_4_02022021_20.tiff</t>
  </si>
  <si>
    <t>./IV/4191_22_4_02012021.csv</t>
  </si>
  <si>
    <t>./RefIV/4191_22_4_02012021.csv</t>
  </si>
  <si>
    <t>./EL/4187_22_4_09142018_80.tiff</t>
  </si>
  <si>
    <t>./EL/4187_22_4_09142018_20.tiff</t>
  </si>
  <si>
    <t>./IV/4187_22_4_09142018.csv</t>
  </si>
  <si>
    <t>./RefIV/4187_22_4_09142018.csv</t>
  </si>
  <si>
    <t>./EL/4187_22_4_02022021_80.tiff</t>
  </si>
  <si>
    <t>./EL/4187_22_4_02022021_20.tiff</t>
  </si>
  <si>
    <t>./IV/4187_22_4_02012021.csv</t>
  </si>
  <si>
    <t>./RefIV/4187_22_4_02012021.csv</t>
  </si>
  <si>
    <t>./EL/4193_22_4_09142018_80.tiff</t>
  </si>
  <si>
    <t>./EL/4193_22_4_09142018_20.tiff</t>
  </si>
  <si>
    <t>./IV/4193_22_4_09142018.csv</t>
  </si>
  <si>
    <t>./RefIV/4193_22_4_09142018.csv</t>
  </si>
  <si>
    <t>./EL/4193_22_4_02022021_80.tiff</t>
  </si>
  <si>
    <t>./EL/4193_22_4_02022021_20.tiff</t>
  </si>
  <si>
    <t>./IV/4193_22_4_02012021.csv</t>
  </si>
  <si>
    <t>./RefIV/4193_22_4_02012021.csv</t>
  </si>
  <si>
    <t>./EL/4192_22_4_09142018_80.tiff</t>
  </si>
  <si>
    <t>./EL/4192_22_4_09142018_20.tiff</t>
  </si>
  <si>
    <t>./IV/4192_22_4_09142018.csv</t>
  </si>
  <si>
    <t>./RefIV/4192_22_4_09142018.csv</t>
  </si>
  <si>
    <t>./EL/4192_22_4_02022021_80.tiff</t>
  </si>
  <si>
    <t>./EL/4192_22_4_02022021_20.tiff</t>
  </si>
  <si>
    <t>./IV/4192_22_4_02012021.csv</t>
  </si>
  <si>
    <t>./RefIV/4192_22_4_02012021.csv</t>
  </si>
  <si>
    <t>OE 740 days</t>
  </si>
  <si>
    <t>1/21/2020</t>
  </si>
  <si>
    <t>./EL/3844_22_3_01172020_80.tiff</t>
  </si>
  <si>
    <t>./EL/3844_22_3_01172020_20.tiff</t>
  </si>
  <si>
    <t>./IV/3844_22_3_01212020.csv</t>
  </si>
  <si>
    <t>./RefIV/3844_22_3_01212020.csv</t>
  </si>
  <si>
    <t>OE 1112 days</t>
  </si>
  <si>
    <t>1/27/2021</t>
  </si>
  <si>
    <t>1/29/2021</t>
  </si>
  <si>
    <t>./EL/3844_22_3_01292021_80.tiff</t>
  </si>
  <si>
    <t>./EL/3844_22_3_01292021_20.tiff</t>
  </si>
  <si>
    <t>./IV/3844_22_3_01272021.csv</t>
  </si>
  <si>
    <t>./RefIV/3844_22_3_01272021.csv</t>
  </si>
  <si>
    <t>./EL/3845_22_3_01172020_80.tiff</t>
  </si>
  <si>
    <t>./EL/3845_22_3_01172020_20.tiff</t>
  </si>
  <si>
    <t>./IV/3845_22_3_01212020.csv</t>
  </si>
  <si>
    <t>./RefIV/3845_22_3_01212020.csv</t>
  </si>
  <si>
    <t>./EL/3845_22_3_01292021_80.tiff</t>
  </si>
  <si>
    <t>./EL/3845_22_3_01292021_20.tiff</t>
  </si>
  <si>
    <t>./IV/3845_22_3_01272021.csv</t>
  </si>
  <si>
    <t>./RefIV/3845_22_3_01272021.csv</t>
  </si>
  <si>
    <t>./EL/3836_22_3_01172020_80.tiff</t>
  </si>
  <si>
    <t>./EL/3836_22_3_01172020_20.tiff</t>
  </si>
  <si>
    <t>./IV/3836_22_3_01212020.csv</t>
  </si>
  <si>
    <t>./RefIV/3836_22_3_01212020.csv</t>
  </si>
  <si>
    <t>./EL/3836_22_3_01292021_80.tiff</t>
  </si>
  <si>
    <t>./EL/3836_22_3_01292021_20.tiff</t>
  </si>
  <si>
    <t>./IV/3836_22_3_01272021.csv</t>
  </si>
  <si>
    <t>./RefIV/3836_22_3_01272021.csv</t>
  </si>
  <si>
    <t>./EL/3850_22_3_01172020_80.tiff</t>
  </si>
  <si>
    <t>./EL/3850_22_3_01172020_20.tiff</t>
  </si>
  <si>
    <t>./IV/3850_22_3_01212020.csv</t>
  </si>
  <si>
    <t>./RefIV/3850_22_3_01212020.csv</t>
  </si>
  <si>
    <t>./EL/3850_22_3_01292021_80.tiff</t>
  </si>
  <si>
    <t>./EL/3850_22_3_01292021_20.tiff</t>
  </si>
  <si>
    <t>./IV/3850_22_3_01272021.csv</t>
  </si>
  <si>
    <t>./RefIV/3850_22_3_01272021.csv</t>
  </si>
  <si>
    <t>./EL/3851_22_3_01172020_20.tiff</t>
  </si>
  <si>
    <t>./IV/3851_22_3_01212020.csv</t>
  </si>
  <si>
    <t>./RefIV/3851_22_3_01212020.csv</t>
  </si>
  <si>
    <t>./EL/3851_22_3_01292021_80.tiff</t>
  </si>
  <si>
    <t>./EL/3851_22_3_01292021_20.tiff</t>
  </si>
  <si>
    <t>./IV/3851_22_3_01272021.csv</t>
  </si>
  <si>
    <t>./RefIV/3851_22_3_01272021.csv</t>
  </si>
  <si>
    <t>./EL/3837_22_3_01172020_80.tiff</t>
  </si>
  <si>
    <t>./EL/3837_22_3_01172020_20.tiff</t>
  </si>
  <si>
    <t>./IV/3837_22_3_01212020.csv</t>
  </si>
  <si>
    <t>./RefIV/3837_22_3_01212020.csv</t>
  </si>
  <si>
    <t>./EL/3837_22_3_01292021_80.tiff</t>
  </si>
  <si>
    <t>./EL/3837_22_3_01292021_20.tiff</t>
  </si>
  <si>
    <t>./IV/3837_22_3_01272021.csv</t>
  </si>
  <si>
    <t>./RefIV/3837_22_3_01272021.csv</t>
  </si>
  <si>
    <t>./EL/3849_22_3_01172020_80.tiff</t>
  </si>
  <si>
    <t>./EL/3849_22_3_01172020_20.tiff</t>
  </si>
  <si>
    <t>./IV/3849_22_3_01212020.csv</t>
  </si>
  <si>
    <t>./RefIV/3849_22_3_01212020.csv</t>
  </si>
  <si>
    <t>./EL/3849_22_3_01292021_80.tiff</t>
  </si>
  <si>
    <t>./EL/3849_22_3_01292021_20.tiff</t>
  </si>
  <si>
    <t>./IV/3849_22_3_01272021.csv</t>
  </si>
  <si>
    <t>./RefIV/3849_22_3_01272021.csv</t>
  </si>
  <si>
    <t>./EL/3833_22_3_01172020_80.tiff</t>
  </si>
  <si>
    <t>./EL/3833_22_3_01172020_20.tiff</t>
  </si>
  <si>
    <t>./IV/3833_22_3_01212020.csv</t>
  </si>
  <si>
    <t>./RefIV/3833_22_3_01212020.csv</t>
  </si>
  <si>
    <t>./EL/3833_22_3_01292021_80.tiff</t>
  </si>
  <si>
    <t>./EL/3833_22_3_01292021_20.tiff</t>
  </si>
  <si>
    <t>./IV/3833_22_3_01272021.csv</t>
  </si>
  <si>
    <t>./RefIV/3833_22_3_01272021.csv</t>
  </si>
  <si>
    <t>OE 552 days</t>
  </si>
  <si>
    <t>./EL/4086_22_3_01172020_80.tiff</t>
  </si>
  <si>
    <t>./EL/4086_22_3_01172020_20.tiff</t>
  </si>
  <si>
    <t>./IV/4086_22_3_01212020.csv</t>
  </si>
  <si>
    <t>./RefIV/4086_22_3_01212020.csv</t>
  </si>
  <si>
    <t>7/18/2018</t>
  </si>
  <si>
    <t>OE 924 days</t>
  </si>
  <si>
    <t>./EL/4086_22_3_01292021_80.tiff</t>
  </si>
  <si>
    <t>./EL/4086_22_3_01292021_20.tiff</t>
  </si>
  <si>
    <t>./IV/4086_22_3_01272021.csv</t>
  </si>
  <si>
    <t>./RefIV/4086_22_3_01272021.csv</t>
  </si>
  <si>
    <t>./EL/3842_22_3_01172020_80.tiff</t>
  </si>
  <si>
    <t>./EL/3842_22_3_01172020_20.tiff</t>
  </si>
  <si>
    <t>./IV/3842_22_3_01212020.csv</t>
  </si>
  <si>
    <t>./RefIV/3842_22_3_01212020.csv</t>
  </si>
  <si>
    <t>./EL/3842_22_3_01292021_20.tiff</t>
  </si>
  <si>
    <t>./IV/3842_22_3_01272021.csv</t>
  </si>
  <si>
    <t>./RefIV/3842_22_3_01272021.csv</t>
  </si>
  <si>
    <t>./EL/3832_22_3_01172020_80.tiff</t>
  </si>
  <si>
    <t>./EL/3832_22_3_01172020_20.tiff</t>
  </si>
  <si>
    <t>./IV/3832_22_3_01212020.csv</t>
  </si>
  <si>
    <t>./RefIV/3832_22_3_01212020.csv</t>
  </si>
  <si>
    <t>./EL/3832_22_3_01292021_80.tiff</t>
  </si>
  <si>
    <t>./EL/3832_22_3_01292021_20.tiff</t>
  </si>
  <si>
    <t>./IV/3832_22_3_01272021.csv</t>
  </si>
  <si>
    <t>./RefIV/3832_22_3_01272021.csv</t>
  </si>
  <si>
    <t>./EL/3831_22_3_01172020_80.tiff</t>
  </si>
  <si>
    <t>./EL/3831_22_3_01172020_20.tiff</t>
  </si>
  <si>
    <t>./IV/3831_22_3_01212020.csv</t>
  </si>
  <si>
    <t>./RefIV/3831_22_3_01212020.csv</t>
  </si>
  <si>
    <t>./EL/3831_22_3_01292021_80.tiff</t>
  </si>
  <si>
    <t>./EL/3831_22_3_01292021_20.tiff</t>
  </si>
  <si>
    <t>./IV/3831_22_3_01272021.csv</t>
  </si>
  <si>
    <t>./RefIV/3831_22_3_01272021.csv</t>
  </si>
  <si>
    <t>./EL/3843_22_3_01172020_80.tiff</t>
  </si>
  <si>
    <t>./EL/3843_22_3_01172020_20.tiff</t>
  </si>
  <si>
    <t>./IV/3843_22_3_01212020.csv</t>
  </si>
  <si>
    <t>./RefIV/3843_22_3_01212020.csv</t>
  </si>
  <si>
    <t>./EL/3843_22_3_01292021_80.tiff</t>
  </si>
  <si>
    <t>./EL/3843_22_3_01292021_20.tiff</t>
  </si>
  <si>
    <t>./IV/3843_22_3_01272021.csv</t>
  </si>
  <si>
    <t>./RefIV/3843_22_3_01272021.csv</t>
  </si>
  <si>
    <t>./EL/4082_22_3_01172020_80.tiff</t>
  </si>
  <si>
    <t>./EL/4082_22_3_01172020_20.tiff</t>
  </si>
  <si>
    <t>./IV/4082_22_3_01212020.csv</t>
  </si>
  <si>
    <t>./RefIV/4082_22_3_01212020.csv</t>
  </si>
  <si>
    <t>./EL/4067_22_3_01172020_80.tiff</t>
  </si>
  <si>
    <t>./EL/4067_22_3_01172020_20.tiff</t>
  </si>
  <si>
    <t>./IV/4067_22_3_01212020.csv</t>
  </si>
  <si>
    <t>./RefIV/4067_22_3_01212020.csv</t>
  </si>
  <si>
    <t>./EL/4072_22_3_01172020_80.tiff</t>
  </si>
  <si>
    <t>./EL/4072_22_3_01172020_20.tiff</t>
  </si>
  <si>
    <t>./IV/4072_22_3_01212020.csv</t>
  </si>
  <si>
    <t>./RefIV/4072_22_3_01212020.csv</t>
  </si>
  <si>
    <t>./EL/4072_22_3_01292021_80.tiff</t>
  </si>
  <si>
    <t>./EL/4072_22_3_01292021_20.tiff</t>
  </si>
  <si>
    <t>./IV/4072_22_3_01272021.csv</t>
  </si>
  <si>
    <t>./RefIV/4072_22_3_01272021.csv</t>
  </si>
  <si>
    <t>./EL/4074_22_3_01292021_80.tiff</t>
  </si>
  <si>
    <t>./EL/4074_22_3_01292021_20.tiff</t>
  </si>
  <si>
    <t>./IV/4074_22_3_01272021.csv</t>
  </si>
  <si>
    <t>./RefIV/4074_22_3_01272021.csv</t>
  </si>
  <si>
    <t>./EL/4084_22_3_01292021_80.tiff</t>
  </si>
  <si>
    <t>./EL/4084_22_3_01292021_20.tiff</t>
  </si>
  <si>
    <t>./IV/4084_22_3_01272021.csv</t>
  </si>
  <si>
    <t>./RefIV/4084_22_3_01272021.csv</t>
  </si>
  <si>
    <t>OE 189 days</t>
  </si>
  <si>
    <t>1/23/2020</t>
  </si>
  <si>
    <t>./EL/3921_20_1_01232020_80.tiff</t>
  </si>
  <si>
    <t>./EL/3921_20_1_01232020_20.tiff</t>
  </si>
  <si>
    <t>./IV/3921_20_1_01242020.csv</t>
  </si>
  <si>
    <t>./RefIV/3921_20_1_01242020.csv</t>
  </si>
  <si>
    <t>7/19/2019</t>
  </si>
  <si>
    <t>OE 564 days</t>
  </si>
  <si>
    <t>./EL/3921_20_1_02042021_80.tiff</t>
  </si>
  <si>
    <t>./EL/3921_20_1_02042021_20.tiff</t>
  </si>
  <si>
    <t>./IV/3921_20_1_02022021.csv</t>
  </si>
  <si>
    <t>./RefIV/3921_20_1_02022021.csv</t>
  </si>
  <si>
    <t>OE 227 days</t>
  </si>
  <si>
    <t>./EL/4327_20_1_01232020_80.tiff</t>
  </si>
  <si>
    <t>./EL/4327_20_1_01232020_20.tiff</t>
  </si>
  <si>
    <t>./IV/4327_20_1_01242020.csv</t>
  </si>
  <si>
    <t>./RefIV/4327_20_1_01242020.csv</t>
  </si>
  <si>
    <t>OE 602 days</t>
  </si>
  <si>
    <t>./EL/4327_20_1_02042021_80.tiff</t>
  </si>
  <si>
    <t>./EL/4327_20_1_02042021_20.tiff</t>
  </si>
  <si>
    <t>./IV/4327_20_1_02022021.csv</t>
  </si>
  <si>
    <t>./RefIV/4327_20_1_02022021.csv</t>
  </si>
  <si>
    <t>OE 402 days</t>
  </si>
  <si>
    <t>./EL/4265_20_1_01232020_80.tiff</t>
  </si>
  <si>
    <t>./EL/4265_20_1_01232020_20.tiff</t>
  </si>
  <si>
    <t>./IV/4265_20_1_01242020.csv</t>
  </si>
  <si>
    <t>./RefIV/4265_20_1_01242020.csv</t>
  </si>
  <si>
    <t>12/18/2018</t>
  </si>
  <si>
    <t>OE 777 days</t>
  </si>
  <si>
    <t>./EL/4265_20_1_02042021_80.tiff</t>
  </si>
  <si>
    <t>./EL/4265_20_1_02042021_20.tiff</t>
  </si>
  <si>
    <t>./IV/4265_20_1_02022021.csv</t>
  </si>
  <si>
    <t>./RefIV/4265_20_1_02022021.csv</t>
  </si>
  <si>
    <t>./EL/4270_20_1_01232020_80.tiff</t>
  </si>
  <si>
    <t>./EL/4270_20_1_01232020_20.tiff</t>
  </si>
  <si>
    <t>./IV/4270_20_1_01242020.csv</t>
  </si>
  <si>
    <t>./RefIV/4270_20_1_01242020.csv</t>
  </si>
  <si>
    <t>./EL/4270_20_1_02042021_80.tiff</t>
  </si>
  <si>
    <t>./IV/4270_20_1_02022021.csv</t>
  </si>
  <si>
    <t>./RefIV/4270_20_1_02022021.csv</t>
  </si>
  <si>
    <t>./EL/4326_20_1_01232020_80.tiff</t>
  </si>
  <si>
    <t>./EL/4326_20_1_01232020_20.tiff</t>
  </si>
  <si>
    <t>./IV/4326_20_1_01242020.csv</t>
  </si>
  <si>
    <t>./RefIV/4326_20_1_01242020.csv</t>
  </si>
  <si>
    <t>./EL/4326_20_1_02042021_80.tiff</t>
  </si>
  <si>
    <t>./EL/4326_20_1_02042021_20.tiff</t>
  </si>
  <si>
    <t>./IV/4326_20_1_02022021.csv</t>
  </si>
  <si>
    <t>./RefIV/4326_20_1_02022021.csv</t>
  </si>
  <si>
    <t>OE 226 days</t>
  </si>
  <si>
    <t>./EL/4317_20_1_01232020_80.tiff</t>
  </si>
  <si>
    <t>./EL/4317_20_1_01232020_20.tiff</t>
  </si>
  <si>
    <t>./IV/4317_20_1_01242020.csv</t>
  </si>
  <si>
    <t>./RefIV/4317_20_1_01242020.csv</t>
  </si>
  <si>
    <t>OE 601 days</t>
  </si>
  <si>
    <t>./EL/4317_20_1_02042021_80.tiff</t>
  </si>
  <si>
    <t>./EL/4317_20_1_02042021_20.tiff</t>
  </si>
  <si>
    <t>./IV/4317_20_1_02022021.csv</t>
  </si>
  <si>
    <t>./RefIV/4317_20_1_02022021.csv</t>
  </si>
  <si>
    <t>./EL/4262_20_1_01232020_80.tiff</t>
  </si>
  <si>
    <t>./EL/4262_20_1_01232020_20.tiff</t>
  </si>
  <si>
    <t>./IV/4262_20_1_01242020.csv</t>
  </si>
  <si>
    <t>./RefIV/4262_20_1_01242020.csv</t>
  </si>
  <si>
    <t>./EL/4262_20_1_02042021_80.tiff</t>
  </si>
  <si>
    <t>./EL/4262_20_1_02042021_20.tiff</t>
  </si>
  <si>
    <t>./IV/4262_20_1_02022021.csv</t>
  </si>
  <si>
    <t>./RefIV/4262_20_1_02022021.csv</t>
  </si>
  <si>
    <t>./EL/4331_20_1_01232020_80.tiff</t>
  </si>
  <si>
    <t>./EL/4331_20_1_01232020_20.tiff</t>
  </si>
  <si>
    <t>./IV/4331_20_1_01242020.csv</t>
  </si>
  <si>
    <t>./RefIV/4331_20_1_01242020.csv</t>
  </si>
  <si>
    <t>./EL/4331_20_1_02042021_80.tiff</t>
  </si>
  <si>
    <t>./EL/4331_20_1_02042021_20.tiff</t>
  </si>
  <si>
    <t>./IV/4331_20_1_02022021.csv</t>
  </si>
  <si>
    <t>./RefIV/4331_20_1_02022021.csv</t>
  </si>
  <si>
    <t>./EL/3922_20_1_01232020_80.tiff</t>
  </si>
  <si>
    <t>./EL/3922_20_1_01232020_20.tiff</t>
  </si>
  <si>
    <t>./IV/3922_20_1_01242020.csv</t>
  </si>
  <si>
    <t>./RefIV/3922_20_1_01242020.csv</t>
  </si>
  <si>
    <t>./EL/3922_20_1_02042021_80.tiff</t>
  </si>
  <si>
    <t>./EL/3922_20_1_02042021_20.tiff</t>
  </si>
  <si>
    <t>./IV/3922_20_1_02022021.csv</t>
  </si>
  <si>
    <t>./RefIV/3922_20_1_02022021.csv</t>
  </si>
  <si>
    <t>./EL/4267_20_1_01232020_80.tiff</t>
  </si>
  <si>
    <t>./EL/4267_20_1_01232020_20.tiff</t>
  </si>
  <si>
    <t>./IV/4267_20_1_01242020.csv</t>
  </si>
  <si>
    <t>./RefIV/4267_20_1_01242020.csv</t>
  </si>
  <si>
    <t>./EL/4324_20_1_01232020_80.tiff</t>
  </si>
  <si>
    <t>./EL/4324_20_1_01232020_20.tiff</t>
  </si>
  <si>
    <t>./IV/4324_20_1_01242020.csv</t>
  </si>
  <si>
    <t>./RefIV/4324_20_1_01242020.csv</t>
  </si>
  <si>
    <t>./EL/4324_20_1_02042021_80.tiff</t>
  </si>
  <si>
    <t>./EL/4324_20_1_02042021_20.tiff</t>
  </si>
  <si>
    <t>./IV/4324_20_1_02022021.csv</t>
  </si>
  <si>
    <t>./RefIV/4324_20_1_02022021.csv</t>
  </si>
  <si>
    <t>./EL/4318_20_1_01232020_80.tiff</t>
  </si>
  <si>
    <t>./EL/4318_20_1_01232020_20.tiff</t>
  </si>
  <si>
    <t>./IV/4318_20_1_01242020.csv</t>
  </si>
  <si>
    <t>./RefIV/4318_20_1_01242020.csv</t>
  </si>
  <si>
    <t>./EL/4318_20_1_02042021_80.tiff</t>
  </si>
  <si>
    <t>./EL/4318_20_1_02042021_20.tiff</t>
  </si>
  <si>
    <t>./IV/4318_20_1_02022021.csv</t>
  </si>
  <si>
    <t>./RefIV/4318_20_1_02022021.csv</t>
  </si>
  <si>
    <t>./EL/4328_20_1_01232020_80.tiff</t>
  </si>
  <si>
    <t>./EL/4328_20_1_01232020_20.tiff</t>
  </si>
  <si>
    <t>./IV/4328_20_1_01242020.csv</t>
  </si>
  <si>
    <t>./RefIV/4328_20_1_01242020.csv</t>
  </si>
  <si>
    <t>./EL/4333_20_1_01232020_80.tiff</t>
  </si>
  <si>
    <t>./EL/4333_20_1_01232020_20.tiff</t>
  </si>
  <si>
    <t>./IV/4333_20_1_01242020.csv</t>
  </si>
  <si>
    <t>./RefIV/4333_20_1_01242020.csv</t>
  </si>
  <si>
    <t>./EL/4333_20_1_02042021_80.tiff</t>
  </si>
  <si>
    <t>./EL/4333_20_1_02042021_20.tiff</t>
  </si>
  <si>
    <t>./IV/4333_20_1_02022021.csv</t>
  </si>
  <si>
    <t>./RefIV/4333_20_1_02022021.csv</t>
  </si>
  <si>
    <t>./EL/4329_20_1_01232020_80.tiff</t>
  </si>
  <si>
    <t>./EL/4329_20_1_01232020_20.tiff</t>
  </si>
  <si>
    <t>./IV/4329_20_1_01242020.csv</t>
  </si>
  <si>
    <t>./RefIV/4329_20_1_01242020.csv</t>
  </si>
  <si>
    <t>./EL/4336_20_1_01232020_80.tiff</t>
  </si>
  <si>
    <t>./EL/4336_20_1_01232020_20.tiff</t>
  </si>
  <si>
    <t>./IV/4336_20_1_01242020.csv</t>
  </si>
  <si>
    <t>./RefIV/4336_20_1_01242020.csv</t>
  </si>
  <si>
    <t>./EL/4336_20_1_02042021_80.tiff</t>
  </si>
  <si>
    <t>./EL/4336_20_1_02042021_20.tiff</t>
  </si>
  <si>
    <t>./IV/4336_20_1_02022021.csv</t>
  </si>
  <si>
    <t>./RefIV/4336_20_1_02022021.csv</t>
  </si>
  <si>
    <t>OE 779 days</t>
  </si>
  <si>
    <t>2/16/2021</t>
  </si>
  <si>
    <t>./EL/4252_20_1_02162021_80.tiff</t>
  </si>
  <si>
    <t>./EL/4252_20_1_02162021_20.tiff</t>
  </si>
  <si>
    <t>./IV/4252_20_1_02042021.csv</t>
  </si>
  <si>
    <t>./RefIV/4252_20_1_02042021.csv</t>
  </si>
  <si>
    <t>OE 407 days</t>
  </si>
  <si>
    <t>./EL/4252_20_1_01302020_80.tiff</t>
  </si>
  <si>
    <t>./EL/4252_20_1_01302020_20.tiff</t>
  </si>
  <si>
    <t>./IV/4252_20_1_01292020.csv</t>
  </si>
  <si>
    <t>./RefIV/4252_20_1_01292020.csv</t>
  </si>
  <si>
    <t>./EL/4268_20_1_02162021_80.tiff</t>
  </si>
  <si>
    <t>./EL/4268_20_1_02162021_20.tiff</t>
  </si>
  <si>
    <t>./IV/4268_20_1_02042021.csv</t>
  </si>
  <si>
    <t>./RefIV/4268_20_1_02042021.csv</t>
  </si>
  <si>
    <t>./EL/4268_20_1_01302020_80.tiff</t>
  </si>
  <si>
    <t>./EL/4268_20_1_01302020_20.tiff</t>
  </si>
  <si>
    <t>./IV/4268_20_1_01292020.csv</t>
  </si>
  <si>
    <t>./RefIV/4268_20_1_01292020.csv</t>
  </si>
  <si>
    <t>./EL/4250_20_1_02162021_80.tiff</t>
  </si>
  <si>
    <t>./EL/4250_20_1_02162021_20.tiff</t>
  </si>
  <si>
    <t>./IV/4250_20_1_02042021.csv</t>
  </si>
  <si>
    <t>./RefIV/4250_20_1_02042021.csv</t>
  </si>
  <si>
    <t>./EL/4250_20_1_01302020_80.tiff</t>
  </si>
  <si>
    <t>./EL/4250_20_1_01302020_20.tiff</t>
  </si>
  <si>
    <t>./IV/4250_20_1_01292020.csv</t>
  </si>
  <si>
    <t>./RefIV/4250_20_1_01292020.csv</t>
  </si>
  <si>
    <t>./EL/4253_20_1_02162021_20.tiff</t>
  </si>
  <si>
    <t>./IV/4253_20_1_02042021.csv</t>
  </si>
  <si>
    <t>./RefIV/4253_20_1_02042021.csv</t>
  </si>
  <si>
    <t>./EL/4253_20_1_01302020_80.tiff</t>
  </si>
  <si>
    <t>./EL/4253_20_1_01302020_20.tiff</t>
  </si>
  <si>
    <t>./IV/4253_20_1_01292020.csv</t>
  </si>
  <si>
    <t>./RefIV/4253_20_1_01292020.csv</t>
  </si>
  <si>
    <t>./EL/4276_20_1_02162021_80.tiff</t>
  </si>
  <si>
    <t>./EL/4276_20_1_02162021_20.tiff</t>
  </si>
  <si>
    <t>./IV/4276_20_1_02042021.csv</t>
  </si>
  <si>
    <t>./RefIV/4276_20_1_02042021.csv</t>
  </si>
  <si>
    <t>./EL/4276_20_1_01302020_80.tiff</t>
  </si>
  <si>
    <t>./EL/4276_20_1_01302020_20.tiff</t>
  </si>
  <si>
    <t>./IV/4276_20_1_01292020.csv</t>
  </si>
  <si>
    <t>./RefIV/4276_20_1_01292020.csv</t>
  </si>
  <si>
    <t>./EL/4251_20_1_02162021_80.tiff</t>
  </si>
  <si>
    <t>./EL/4251_20_1_02162021_20.tiff</t>
  </si>
  <si>
    <t>./IV/4251_20_1_02042021.csv</t>
  </si>
  <si>
    <t>./RefIV/4251_20_1_02042021.csv</t>
  </si>
  <si>
    <t>./EL/4251_20_1_01302020_80.tiff</t>
  </si>
  <si>
    <t>./EL/4251_20_1_01302020_20.tiff</t>
  </si>
  <si>
    <t>./IV/4251_20_1_01292020.csv</t>
  </si>
  <si>
    <t>./RefIV/4251_20_1_01292020.csv</t>
  </si>
  <si>
    <t>./EL/4255_20_1_02162021_80.tiff</t>
  </si>
  <si>
    <t>./EL/4255_20_1_02162021_20.tiff</t>
  </si>
  <si>
    <t>./IV/4255_20_1_02042021.csv</t>
  </si>
  <si>
    <t>./RefIV/4255_20_1_02042021.csv</t>
  </si>
  <si>
    <t>./EL/4255_20_1_01302020_80.tiff</t>
  </si>
  <si>
    <t>./EL/4255_20_1_01302020_20.tiff</t>
  </si>
  <si>
    <t>./IV/4255_20_1_01292020.csv</t>
  </si>
  <si>
    <t>./RefIV/4255_20_1_01292020.csv</t>
  </si>
  <si>
    <t>./EL/4274_20_1_02162021_80.tiff</t>
  </si>
  <si>
    <t>./EL/4274_20_1_02162021_20.tiff</t>
  </si>
  <si>
    <t>./IV/4274_20_1_02042021.csv</t>
  </si>
  <si>
    <t>./RefIV/4274_20_1_02042021.csv</t>
  </si>
  <si>
    <t>./EL/4274_20_1_01302020_80.tiff</t>
  </si>
  <si>
    <t>./EL/4274_20_1_01302020_20.tiff</t>
  </si>
  <si>
    <t>./IV/4274_20_1_01292020.csv</t>
  </si>
  <si>
    <t>./RefIV/4274_20_1_01292020.csv</t>
  </si>
  <si>
    <t>./EL/4272_20_1_02162021_80.tiff</t>
  </si>
  <si>
    <t>./EL/4272_20_1_02162021_20.tiff</t>
  </si>
  <si>
    <t>./IV/4272_20_1_02042021.csv</t>
  </si>
  <si>
    <t>./RefIV/4272_20_1_02042021.csv</t>
  </si>
  <si>
    <t>./EL/4272_20_1_01302020_80.tiff</t>
  </si>
  <si>
    <t>./EL/4272_20_1_01302020_20.tiff</t>
  </si>
  <si>
    <t>./IV/4272_20_1_01292020.csv</t>
  </si>
  <si>
    <t>./RefIV/4272_20_1_01292020.csv</t>
  </si>
  <si>
    <t>./EL/4273_20_1_01302020_80.tiff</t>
  </si>
  <si>
    <t>./EL/4273_20_1_01302020_20.tiff</t>
  </si>
  <si>
    <t>./IV/4273_20_1_01292020.csv</t>
  </si>
  <si>
    <t>./RefIV/4273_20_1_01292020.csv</t>
  </si>
  <si>
    <t>./EL/4261_20_1_02042021_80.tiff</t>
  </si>
  <si>
    <t>./EL/4261_20_1_02042021_20.tiff</t>
  </si>
  <si>
    <t>./IV/4261_20_1_02022021.csv</t>
  </si>
  <si>
    <t>./RefIV/4261_20_1_02022021.csv</t>
  </si>
  <si>
    <t>OE 778 days</t>
  </si>
  <si>
    <t>./EL/4240_20_1_02042021_80.tiff</t>
  </si>
  <si>
    <t>./EL/4240_20_1_02042021_20.tiff</t>
  </si>
  <si>
    <t>./IV/4240_20_1_02022021.csv</t>
  </si>
  <si>
    <t>./RefIV/4240_20_1_02022021.csv</t>
  </si>
  <si>
    <t>12/17/2018</t>
  </si>
  <si>
    <t>./EL/4145_25_1_01302020_80.tiff</t>
  </si>
  <si>
    <t>./EL/4145_25_1_01302020_20.tiff</t>
  </si>
  <si>
    <t>./IV/4145_25_1_01292020.csv</t>
  </si>
  <si>
    <t>./RefIV/4145_25_1_01292020.csv</t>
  </si>
  <si>
    <t>./EL/4137_25_1_01302020_80.tiff</t>
  </si>
  <si>
    <t>./EL/4137_25_1_01302020_20.tiff</t>
  </si>
  <si>
    <t>./IV/4137_25_1_01292020.csv</t>
  </si>
  <si>
    <t>./RefIV/4137_25_1_01292020.csv</t>
  </si>
  <si>
    <t>./EL/4142_25_1_01302020_80.tiff</t>
  </si>
  <si>
    <t>./EL/4142_25_1_01302020_20.tiff</t>
  </si>
  <si>
    <t>./IV/4142_25_1_01292020.csv</t>
  </si>
  <si>
    <t>./RefIV/4142_25_1_01292020.csv</t>
  </si>
  <si>
    <t>./EL/4143_25_1_01302020_80.tiff</t>
  </si>
  <si>
    <t>./EL/4143_25_1_01302020_20.tiff</t>
  </si>
  <si>
    <t>./IV/4143_25_1_01292020.csv</t>
  </si>
  <si>
    <t>./RefIV/4143_25_1_01292020.csv</t>
  </si>
  <si>
    <t>./EL/4141_25_1_01302020_80.tiff</t>
  </si>
  <si>
    <t>./EL/4141_25_1_01302020_20.tiff</t>
  </si>
  <si>
    <t>./IV/4141_25_1_01292020.csv</t>
  </si>
  <si>
    <t>./RefIV/4141_25_1_01292020.csv</t>
  </si>
  <si>
    <t>./EL/4138_25_1_01302020_80.tiff</t>
  </si>
  <si>
    <t>./EL/4138_25_1_01302020_20.tiff</t>
  </si>
  <si>
    <t>./IV/4138_25_1_01292020.csv</t>
  </si>
  <si>
    <t>./RefIV/4138_25_1_01292020.csv</t>
  </si>
  <si>
    <t>./EL/4146_25_1_01302020_80.tiff</t>
  </si>
  <si>
    <t>./EL/4146_25_1_01302020_20.tiff</t>
  </si>
  <si>
    <t>./IV/4146_25_1_01292020.csv</t>
  </si>
  <si>
    <t>./RefIV/4146_25_1_01292020.csv</t>
  </si>
  <si>
    <t>./EL/4140_25_1_01302020_80.tiff</t>
  </si>
  <si>
    <t>./EL/4140_25_1_01302020_20.tiff</t>
  </si>
  <si>
    <t>./IV/4140_25_1_01292020.csv</t>
  </si>
  <si>
    <t>./RefIV/4140_25_1_01292020.csv</t>
  </si>
  <si>
    <t>./EL/4139_25_1_01302020_80.tiff</t>
  </si>
  <si>
    <t>./EL/4139_25_1_01302020_20.tiff</t>
  </si>
  <si>
    <t>./IV/4139_25_1_01292020.csv</t>
  </si>
  <si>
    <t>./RefIV/4139_25_1_01292020.csv</t>
  </si>
  <si>
    <t>./EL/4144_25_1_01302020_80.tiff</t>
  </si>
  <si>
    <t>./EL/4144_25_1_01302020_20.tiff</t>
  </si>
  <si>
    <t>./IV/4144_25_1_01292020.csv</t>
  </si>
  <si>
    <t>./RefIV/4144_25_1_01292020.csv</t>
  </si>
  <si>
    <t>OE 5 days</t>
  </si>
  <si>
    <t>7/24/2017</t>
  </si>
  <si>
    <t>./EL/3253_25_4_08012017_80.tiff</t>
  </si>
  <si>
    <t>./EL/3253_25_4_08012017_20.tiff</t>
  </si>
  <si>
    <t>./IV/3253_25_4_07242017.csv</t>
  </si>
  <si>
    <t>./RefIV/3253_25_4_07242017.csv</t>
  </si>
  <si>
    <t>7/19/2017</t>
  </si>
  <si>
    <t>OE 1296 days</t>
  </si>
  <si>
    <t>./EL/3253_25_4_02082021_80.tiff</t>
  </si>
  <si>
    <t>./EL/3253_25_4_02082021_20.tiff</t>
  </si>
  <si>
    <t>./IV/3253_25_4_02042021.csv</t>
  </si>
  <si>
    <t>./RefIV/3253_25_4_02042021.csv</t>
  </si>
  <si>
    <t>OE 911 days</t>
  </si>
  <si>
    <t>1/16/2020</t>
  </si>
  <si>
    <t>./EL/3253_25_4_01202020_80.tiff</t>
  </si>
  <si>
    <t>./EL/3253_25_4_01202020_20.tiff</t>
  </si>
  <si>
    <t>./IV/3253_25_4_01162020.csv</t>
  </si>
  <si>
    <t>./RefIV/3253_25_4_01162020.csv</t>
  </si>
  <si>
    <t>./EL/3248_25_3_08012017_80.tiff</t>
  </si>
  <si>
    <t>./EL/3248_25_3_08012017_20.tiff</t>
  </si>
  <si>
    <t>./IV/3248_25_3_07242017.csv</t>
  </si>
  <si>
    <t>./RefIV/3248_25_3_07242017.csv</t>
  </si>
  <si>
    <t>OE 1301 days</t>
  </si>
  <si>
    <t>./EL/3248_25_3_02082021_80.tiff</t>
  </si>
  <si>
    <t>./EL/3248_25_3_02082021_20.tiff</t>
  </si>
  <si>
    <t>./IV/3248_25_3_02092021.csv</t>
  </si>
  <si>
    <t>./RefIV/3248_25_3_02092021.csv</t>
  </si>
  <si>
    <t>./EL/3248_25_3_01202020_80.tiff</t>
  </si>
  <si>
    <t>./EL/3248_25_3_01202020_20.tiff</t>
  </si>
  <si>
    <t>./IV/3248_25_3_01162020.csv</t>
  </si>
  <si>
    <t>./RefIV/3248_25_3_01162020.csv</t>
  </si>
  <si>
    <t>./EL/3254_25_4_08012017_80.tiff</t>
  </si>
  <si>
    <t>./EL/3254_25_4_08012017_20.tiff</t>
  </si>
  <si>
    <t>./IV/3254_25_4_07242017.csv</t>
  </si>
  <si>
    <t>./RefIV/3254_25_4_07242017.csv</t>
  </si>
  <si>
    <t>./EL/3254_25_4_02082021_80.tiff</t>
  </si>
  <si>
    <t>./EL/3254_25_4_02082021_20.tiff</t>
  </si>
  <si>
    <t>./IV/3254_25_4_02042021.csv</t>
  </si>
  <si>
    <t>./RefIV/3254_25_4_02042021.csv</t>
  </si>
  <si>
    <t>./EL/3254_25_4_01202020_80.tiff</t>
  </si>
  <si>
    <t>./EL/3254_25_4_01202020_20.tiff</t>
  </si>
  <si>
    <t>./IV/3254_25_4_01162020.csv</t>
  </si>
  <si>
    <t>./RefIV/3254_25_4_01162020.csv</t>
  </si>
  <si>
    <t>./EL/3249_25_3_08012017_80.tiff</t>
  </si>
  <si>
    <t>./EL/3249_25_3_08012017_20.tiff</t>
  </si>
  <si>
    <t>./IV/3249_25_3_07242017.csv</t>
  </si>
  <si>
    <t>./RefIV/3249_25_3_07242017.csv</t>
  </si>
  <si>
    <t>./EL/3249_25_3_02082021_80.tiff</t>
  </si>
  <si>
    <t>./EL/3249_25_3_02082021_20.tiff</t>
  </si>
  <si>
    <t>./IV/3249_25_3_02092021.csv</t>
  </si>
  <si>
    <t>./RefIV/3249_25_3_02092021.csv</t>
  </si>
  <si>
    <t>./EL/3249_25_3_01202020_80.tiff</t>
  </si>
  <si>
    <t>./EL/3249_25_3_01202020_20.tiff</t>
  </si>
  <si>
    <t>./IV/3249_25_3_01162020.csv</t>
  </si>
  <si>
    <t>./RefIV/3249_25_3_01162020.csv</t>
  </si>
  <si>
    <t>OE 13 days</t>
  </si>
  <si>
    <t>./EL/3246_5_5_08012017_80.tiff</t>
  </si>
  <si>
    <t>./EL/3246_5_5_08012017_20.tiff</t>
  </si>
  <si>
    <t>./IV/3246_5_5_08012017.csv</t>
  </si>
  <si>
    <t>./RefIV/3246_5_5_08012017.csv</t>
  </si>
  <si>
    <t>OE 1293 days</t>
  </si>
  <si>
    <t>./EL/3246_5_5_02022021_80.tiff</t>
  </si>
  <si>
    <t>./EL/3246_5_5_02022021_20.tiff</t>
  </si>
  <si>
    <t>./IV/3246_5_5_02012021.csv</t>
  </si>
  <si>
    <t>./RefIV/3246_5_5_02012021.csv</t>
  </si>
  <si>
    <t>./EL/3246_5_5_01172020_80.tiff</t>
  </si>
  <si>
    <t>./EL/3246_5_5_01172020_20.tiff</t>
  </si>
  <si>
    <t>./IV/3246_5_5_01162020.csv</t>
  </si>
  <si>
    <t>./RefIV/3246_5_5_01162020.csv</t>
  </si>
  <si>
    <t>./EL/3245_5_5_08012017_80.tiff</t>
  </si>
  <si>
    <t>./EL/3245_5_5_08012017_20.tiff</t>
  </si>
  <si>
    <t>./IV/3245_5_5_08012017.csv</t>
  </si>
  <si>
    <t>./RefIV/3245_5_5_08012017.csv</t>
  </si>
  <si>
    <t>./EL/3245_5_5_02022021_80.tiff</t>
  </si>
  <si>
    <t>./EL/3245_5_5_02022021_20.tiff</t>
  </si>
  <si>
    <t>./IV/3245_5_5_02012021.csv</t>
  </si>
  <si>
    <t>./RefIV/3245_5_5_02012021.csv</t>
  </si>
  <si>
    <t>./EL/3245_5_5_01172020_80.tiff</t>
  </si>
  <si>
    <t>./EL/3245_5_5_01172020_20.tiff</t>
  </si>
  <si>
    <t>./IV/3245_5_5_01162020.csv</t>
  </si>
  <si>
    <t>./RefIV/3245_5_5_01162020.csv</t>
  </si>
  <si>
    <t>OE 1263 days</t>
  </si>
  <si>
    <t>./EL/3810_25_4_02082021_80.tiff</t>
  </si>
  <si>
    <t>./EL/3810_25_4_02082021_20.tiff</t>
  </si>
  <si>
    <t>./IV/3810_25_4_02042021.csv</t>
  </si>
  <si>
    <t>./RefIV/3810_25_4_02042021.csv</t>
  </si>
  <si>
    <t>8/21/2017</t>
  </si>
  <si>
    <t>OE 878 days</t>
  </si>
  <si>
    <t>./EL/3810_25_4_01202020_80.tiff</t>
  </si>
  <si>
    <t>./EL/3810_25_4_01202020_20.tiff</t>
  </si>
  <si>
    <t>./IV/3810_25_4_01162020.csv</t>
  </si>
  <si>
    <t>./RefIV/3810_25_4_01162020.csv</t>
  </si>
  <si>
    <t>OE 897 days</t>
  </si>
  <si>
    <t>./EL/3802_25_4_01202020_80.tiff</t>
  </si>
  <si>
    <t>./EL/3802_25_4_01202020_20.tiff</t>
  </si>
  <si>
    <t>./IV/3802_25_4_01162020.csv</t>
  </si>
  <si>
    <t>./RefIV/3802_25_4_01162020.csv</t>
  </si>
  <si>
    <t>./EL/3809_25_4_02082021_80.tiff</t>
  </si>
  <si>
    <t>./EL/3809_25_4_02082021_20.tiff</t>
  </si>
  <si>
    <t>./IV/3809_25_4_02042021.csv</t>
  </si>
  <si>
    <t>./RefIV/3809_25_4_02042021.csv</t>
  </si>
  <si>
    <t>./EL/3809_25_4_01202020_80.tiff</t>
  </si>
  <si>
    <t>./EL/3809_25_4_01202020_20.tiff</t>
  </si>
  <si>
    <t>./IV/3809_25_4_01162020.csv</t>
  </si>
  <si>
    <t>./RefIV/3809_25_4_01162020.csv</t>
  </si>
  <si>
    <t>OE 1282 days</t>
  </si>
  <si>
    <t>./EL/3797_25_4_02082021_80.tiff</t>
  </si>
  <si>
    <t>./EL/3797_25_4_02082021_20.tiff</t>
  </si>
  <si>
    <t>./IV/3797_25_4_02042021.csv</t>
  </si>
  <si>
    <t>./RefIV/3797_25_4_02042021.csv</t>
  </si>
  <si>
    <t>./EL/3797_25_4_01202020_80.tiff</t>
  </si>
  <si>
    <t>./EL/3797_25_4_01202020_20.tiff</t>
  </si>
  <si>
    <t>./IV/3797_25_4_01162020.csv</t>
  </si>
  <si>
    <t>./RefIV/3797_25_4_01162020.csv</t>
  </si>
  <si>
    <t>OE 1288 days</t>
  </si>
  <si>
    <t>./EL/3639_25_4_02082021_80.tiff</t>
  </si>
  <si>
    <t>./EL/3639_25_4_02082021_20.tiff</t>
  </si>
  <si>
    <t>./IV/3639_25_4_02042021.csv</t>
  </si>
  <si>
    <t>./RefIV/3639_25_4_02042021.csv</t>
  </si>
  <si>
    <t>7/27/2017</t>
  </si>
  <si>
    <t>./EL/3798_25_4_01202020_80.tiff</t>
  </si>
  <si>
    <t>./EL/3798_25_4_01202020_20.tiff</t>
  </si>
  <si>
    <t>./IV/3798_25_4_01162020.csv</t>
  </si>
  <si>
    <t>./RefIV/3798_25_4_01162020.csv</t>
  </si>
  <si>
    <t>./EL/3803_25_4_01202020_80.tiff</t>
  </si>
  <si>
    <t>./EL/3803_25_4_01202020_20.tiff</t>
  </si>
  <si>
    <t>./IV/3803_25_4_01162020.csv</t>
  </si>
  <si>
    <t>./RefIV/3803_25_4_01162020.csv</t>
  </si>
  <si>
    <t>OE 1023 days</t>
  </si>
  <si>
    <t>./EL/3625_25_4_02082021_80.tiff</t>
  </si>
  <si>
    <t>./EL/3625_25_4_02082021_20.tiff</t>
  </si>
  <si>
    <t>./IV/3625_25_4_02042021.csv</t>
  </si>
  <si>
    <t>./RefIV/3625_25_4_02042021.csv</t>
  </si>
  <si>
    <t>4/18/2018</t>
  </si>
  <si>
    <t>OE 638 days</t>
  </si>
  <si>
    <t>./EL/3625_25_4_01202020_80.tiff</t>
  </si>
  <si>
    <t>./EL/3625_25_4_01202020_20.tiff</t>
  </si>
  <si>
    <t>./IV/3625_25_4_01162020.csv</t>
  </si>
  <si>
    <t>./RefIV/3625_25_4_01162020.csv</t>
  </si>
  <si>
    <t>./EL/3635_25_4_02082021_80.tiff</t>
  </si>
  <si>
    <t>./EL/3635_25_4_02082021_20.tiff</t>
  </si>
  <si>
    <t>./IV/3635_25_4_02042021.csv</t>
  </si>
  <si>
    <t>./RefIV/3635_25_4_02042021.csv</t>
  </si>
  <si>
    <t>OE 903 days</t>
  </si>
  <si>
    <t>./EL/3635_25_4_01202020_80.tiff</t>
  </si>
  <si>
    <t>./EL/3635_25_4_01202020_20.tiff</t>
  </si>
  <si>
    <t>./IV/3635_25_4_01162020.csv</t>
  </si>
  <si>
    <t>./RefIV/3635_25_4_01162020.csv</t>
  </si>
  <si>
    <t>./EL/3799_25_4_01202020_80.tiff</t>
  </si>
  <si>
    <t>./EL/3799_25_4_01202020_20.tiff</t>
  </si>
  <si>
    <t>./IV/3799_25_4_01162020.csv</t>
  </si>
  <si>
    <t>./RefIV/3799_25_4_01162020.csv</t>
  </si>
  <si>
    <t>./EL/3626_25_4_02082021_80.tiff</t>
  </si>
  <si>
    <t>./EL/3626_25_4_02082021_20.tiff</t>
  </si>
  <si>
    <t>./IV/3626_25_4_02042021.csv</t>
  </si>
  <si>
    <t>./RefIV/3626_25_4_02042021.csv</t>
  </si>
  <si>
    <t>./EL/3626_25_4_01202020_80.tiff</t>
  </si>
  <si>
    <t>./EL/3626_25_4_01202020_20.tiff</t>
  </si>
  <si>
    <t>./IV/3626_25_4_01162020.csv</t>
  </si>
  <si>
    <t>./RefIV/3626_25_4_01162020.csv</t>
  </si>
  <si>
    <t>./EL/3640_25_4_02082021_80.tiff</t>
  </si>
  <si>
    <t>./EL/3640_25_4_02082021_20.tiff</t>
  </si>
  <si>
    <t>./IV/3640_25_4_02042021.csv</t>
  </si>
  <si>
    <t>./RefIV/3640_25_4_02042021.csv</t>
  </si>
  <si>
    <t>./EL/3640_25_4_01202020_80.tiff</t>
  </si>
  <si>
    <t>./EL/3640_25_4_01202020_20.tiff</t>
  </si>
  <si>
    <t>./IV/3640_25_4_01162020.csv</t>
  </si>
  <si>
    <t>./RefIV/3640_25_4_01162020.csv</t>
  </si>
  <si>
    <t>./EL/3735_25_3_02082021_80.tiff</t>
  </si>
  <si>
    <t>./EL/3735_25_3_02082021_20.tiff</t>
  </si>
  <si>
    <t>./IV/3735_25_3_02092021.csv</t>
  </si>
  <si>
    <t>./RefIV/3735_25_3_02092021.csv</t>
  </si>
  <si>
    <t>OE 898 days</t>
  </si>
  <si>
    <t>./EL/3735_25_3_01202020_80.tiff</t>
  </si>
  <si>
    <t>./EL/3735_25_3_01202020_20.tiff</t>
  </si>
  <si>
    <t>./IV/3735_25_3_01162020.csv</t>
  </si>
  <si>
    <t>./RefIV/3735_25_3_01162020.csv</t>
  </si>
  <si>
    <t>./EL/3746_25_3_02082021_80.tiff</t>
  </si>
  <si>
    <t>./EL/3746_25_3_02082021_20.tiff</t>
  </si>
  <si>
    <t>./IV/3746_25_3_02092021.csv</t>
  </si>
  <si>
    <t>./RefIV/3746_25_3_02092021.csv</t>
  </si>
  <si>
    <t>./EL/3746_25_3_01202020_80.tiff</t>
  </si>
  <si>
    <t>./EL/3746_25_3_01202020_20.tiff</t>
  </si>
  <si>
    <t>./IV/3746_25_3_01162020.csv</t>
  </si>
  <si>
    <t>./RefIV/3746_25_3_01162020.csv</t>
  </si>
  <si>
    <t>./EL/3720_25_3_02082021_80.tiff</t>
  </si>
  <si>
    <t>./EL/3720_25_3_02082021_20.tiff</t>
  </si>
  <si>
    <t>./IV/3720_25_3_02092021.csv</t>
  </si>
  <si>
    <t>./RefIV/3720_25_3_02092021.csv</t>
  </si>
  <si>
    <t>./EL/3737_25_3_02082021_80.tiff</t>
  </si>
  <si>
    <t>./EL/3737_25_3_02082021_20.tiff</t>
  </si>
  <si>
    <t>./IV/3737_25_3_02092021.csv</t>
  </si>
  <si>
    <t>./RefIV/3737_25_3_02092021.csv</t>
  </si>
  <si>
    <t>./EL/3737_25_3_01202020_80.tiff</t>
  </si>
  <si>
    <t>./EL/3737_25_3_01202020_20.tiff</t>
  </si>
  <si>
    <t>./IV/3737_25_3_01162020.csv</t>
  </si>
  <si>
    <t>./RefIV/3737_25_3_01162020.csv</t>
  </si>
  <si>
    <t>./EL/3726_25_3_02082021_80.tiff</t>
  </si>
  <si>
    <t>./EL/3726_25_3_02082021_20.tiff</t>
  </si>
  <si>
    <t>./IV/3726_25_3_02092021.csv</t>
  </si>
  <si>
    <t>./RefIV/3726_25_3_02092021.csv</t>
  </si>
  <si>
    <t>./EL/3726_25_3_01202020_80.tiff</t>
  </si>
  <si>
    <t>./EL/3726_25_3_01202020_20.tiff</t>
  </si>
  <si>
    <t>./IV/3726_25_3_01162020.csv</t>
  </si>
  <si>
    <t>./RefIV/3726_25_3_01162020.csv</t>
  </si>
  <si>
    <t>./EL/3738_25_3_02082021_80.tiff</t>
  </si>
  <si>
    <t>./EL/3738_25_3_02082021_20.tiff</t>
  </si>
  <si>
    <t>./IV/3738_25_3_02092021.csv</t>
  </si>
  <si>
    <t>./RefIV/3738_25_3_02092021.csv</t>
  </si>
  <si>
    <t>./EL/3738_25_3_01202020_80.tiff</t>
  </si>
  <si>
    <t>./EL/3738_25_3_01202020_20.tiff</t>
  </si>
  <si>
    <t>./IV/3738_25_3_01162020.csv</t>
  </si>
  <si>
    <t>./RefIV/3738_25_3_01162020.csv</t>
  </si>
  <si>
    <t>OE 1268 days</t>
  </si>
  <si>
    <t>./EL/3811_25_3_02082021_80.tiff</t>
  </si>
  <si>
    <t>./EL/3811_25_3_02082021_20.tiff</t>
  </si>
  <si>
    <t>./IV/3811_25_3_02092021.csv</t>
  </si>
  <si>
    <t>./RefIV/3811_25_3_02092021.csv</t>
  </si>
  <si>
    <t>./EL/3811_25_3_01202020_80.tiff</t>
  </si>
  <si>
    <t>./EL/3811_25_3_01202020_20.tiff</t>
  </si>
  <si>
    <t>./IV/3811_25_3_01162020.csv</t>
  </si>
  <si>
    <t>./RefIV/3811_25_3_01162020.csv</t>
  </si>
  <si>
    <t>./EL/3754_25_3_02082021_80.tiff</t>
  </si>
  <si>
    <t>./EL/3754_25_3_02082021_20.tiff</t>
  </si>
  <si>
    <t>./IV/3754_25_3_02092021.csv</t>
  </si>
  <si>
    <t>./RefIV/3754_25_3_02092021.csv</t>
  </si>
  <si>
    <t>./EL/3754_25_3_01202020_80.tiff</t>
  </si>
  <si>
    <t>./EL/3754_25_3_01202020_20.tiff</t>
  </si>
  <si>
    <t>./IV/3754_25_3_01162020.csv</t>
  </si>
  <si>
    <t>./RefIV/3754_25_3_01162020.csv</t>
  </si>
  <si>
    <t>./EL/3714_25_3_02082021_80.tiff</t>
  </si>
  <si>
    <t>./EL/3714_25_3_02082021_20.tiff</t>
  </si>
  <si>
    <t>./IV/3714_25_3_02092021.csv</t>
  </si>
  <si>
    <t>./RefIV/3714_25_3_02092021.csv</t>
  </si>
  <si>
    <t>./EL/3742_25_3_02082021_80.tiff</t>
  </si>
  <si>
    <t>./EL/3742_25_3_02082021_20.tiff</t>
  </si>
  <si>
    <t>./IV/3742_25_3_02092021.csv</t>
  </si>
  <si>
    <t>./RefIV/3742_25_3_02092021.csv</t>
  </si>
  <si>
    <t>./EL/3742_25_3_01202020_80.tiff</t>
  </si>
  <si>
    <t>./EL/3742_25_3_01202020_20.tiff</t>
  </si>
  <si>
    <t>./IV/3742_25_3_01162020.csv</t>
  </si>
  <si>
    <t>./RefIV/3742_25_3_01162020.csv</t>
  </si>
  <si>
    <t>./EL/3744_25_3_02082021_80.tiff</t>
  </si>
  <si>
    <t>./EL/3744_25_3_02082021_20.tiff</t>
  </si>
  <si>
    <t>./IV/3744_25_3_02092021.csv</t>
  </si>
  <si>
    <t>./RefIV/3744_25_3_02092021.csv</t>
  </si>
  <si>
    <t>./EL/3744_25_3_01202020_80.tiff</t>
  </si>
  <si>
    <t>./EL/3744_25_3_01202020_20.tiff</t>
  </si>
  <si>
    <t>./IV/3744_25_3_01162020.csv</t>
  </si>
  <si>
    <t>./RefIV/3744_25_3_01162020.csv</t>
  </si>
  <si>
    <t>./EL/3747_25_3_02082021_80.tiff</t>
  </si>
  <si>
    <t>./EL/3747_25_3_02082021_20.tiff</t>
  </si>
  <si>
    <t>./IV/3747_25_3_02092021.csv</t>
  </si>
  <si>
    <t>./RefIV/3747_25_3_02092021.csv</t>
  </si>
  <si>
    <t>./EL/3747_25_3_01202020_80.tiff</t>
  </si>
  <si>
    <t>./EL/3747_25_3_01202020_20.tiff</t>
  </si>
  <si>
    <t>./IV/3747_25_3_01162020.csv</t>
  </si>
  <si>
    <t>./RefIV/3747_25_3_01162020.csv</t>
  </si>
  <si>
    <t>./EL/3718_25_3_02082021_80.tiff</t>
  </si>
  <si>
    <t>./EL/3718_25_3_02082021_20.tiff</t>
  </si>
  <si>
    <t>./IV/3718_25_3_02092021.csv</t>
  </si>
  <si>
    <t>./RefIV/3718_25_3_02092021.csv</t>
  </si>
  <si>
    <t>./EL/3752_25_3_01202020_80.tiff</t>
  </si>
  <si>
    <t>./IV/3752_25_3_01162020.csv</t>
  </si>
  <si>
    <t>./RefIV/3752_25_3_01162020.csv</t>
  </si>
  <si>
    <t>./EL/3628_25_4_01202020_80.tiff</t>
  </si>
  <si>
    <t>./EL/3628_25_4_01202020_20.tiff</t>
  </si>
  <si>
    <t>./IV/3628_25_4_01162020.csv</t>
  </si>
  <si>
    <t>./RefIV/3628_25_4_01162020.csv</t>
  </si>
  <si>
    <t>./EL/3734_25_3_01202020_80.tiff</t>
  </si>
  <si>
    <t>./EL/3734_25_3_01202020_20.tiff</t>
  </si>
  <si>
    <t>./IV/3734_25_3_01162020.csv</t>
  </si>
  <si>
    <t>./RefIV/3734_25_3_01162020.csv</t>
  </si>
  <si>
    <t>./EL/3637_25_4_01202020_80.tiff</t>
  </si>
  <si>
    <t>./EL/3637_25_4_01202020_20.tiff</t>
  </si>
  <si>
    <t>./IV/3637_25_4_01162020.csv</t>
  </si>
  <si>
    <t>./RefIV/3637_25_4_01162020.csv</t>
  </si>
  <si>
    <t>OE 329 days</t>
  </si>
  <si>
    <t>./EL/4554_12_1_02102021_80.tiff</t>
  </si>
  <si>
    <t>./EL/4554_12_1_02102021_20.tiff</t>
  </si>
  <si>
    <t>./IV/4554_12_1_02092021.csv</t>
  </si>
  <si>
    <t>./RefIV/4554_12_1_02092021.csv</t>
  </si>
  <si>
    <t>3/17/2020</t>
  </si>
  <si>
    <t>3/23/2020</t>
  </si>
  <si>
    <t>./EL/4554_12_1_03232020_80.tiff</t>
  </si>
  <si>
    <t>./EL/4554_12_1_03232020_20.tiff</t>
  </si>
  <si>
    <t>./IV/4554_12_1_03172020.csv</t>
  </si>
  <si>
    <t>./RefIV/4554_12_1_03172020.csv</t>
  </si>
  <si>
    <t>OE 582 days</t>
  </si>
  <si>
    <t>./EL/4352_12_1_02102021_80.tiff</t>
  </si>
  <si>
    <t>./EL/4352_12_1_02102021_20.tiff</t>
  </si>
  <si>
    <t>./IV/4352_12_1_02092021.csv</t>
  </si>
  <si>
    <t>./RefIV/4352_12_1_02092021.csv</t>
  </si>
  <si>
    <t>OE 246 days</t>
  </si>
  <si>
    <t>./EL/4352_12_1_03112020_80.tiff</t>
  </si>
  <si>
    <t>./EL/4352_12_1_03112020_20.tiff</t>
  </si>
  <si>
    <t>./IV/4352_12_1_03102020.csv</t>
  </si>
  <si>
    <t>./RefIV/4352_12_1_03102020.csv</t>
  </si>
  <si>
    <t>OE 571 days</t>
  </si>
  <si>
    <t>./EL/4278_12_1_02102021_80.tiff</t>
  </si>
  <si>
    <t>./EL/4278_12_1_02102021_20.tiff</t>
  </si>
  <si>
    <t>./IV/4278_12_1_02092021.csv</t>
  </si>
  <si>
    <t>./RefIV/4278_12_1_02092021.csv</t>
  </si>
  <si>
    <t>OE 235 days</t>
  </si>
  <si>
    <t>./EL/4278_12_1_03112020_80.tiff</t>
  </si>
  <si>
    <t>./EL/4278_12_1_03112020_20.tiff</t>
  </si>
  <si>
    <t>./IV/4278_12_1_03102020.csv</t>
  </si>
  <si>
    <t>./RefIV/4278_12_1_03102020.csv</t>
  </si>
  <si>
    <t>./EL/4353_12_1_02102021_80.tiff</t>
  </si>
  <si>
    <t>./EL/4353_12_1_02102021_20.tiff</t>
  </si>
  <si>
    <t>./IV/4353_12_1_02092021.csv</t>
  </si>
  <si>
    <t>./RefIV/4353_12_1_02092021.csv</t>
  </si>
  <si>
    <t>./EL/4353_12_1_03112020_80.tiff</t>
  </si>
  <si>
    <t>./EL/4353_12_1_03112020_20.tiff</t>
  </si>
  <si>
    <t>./IV/4353_12_1_03102020.csv</t>
  </si>
  <si>
    <t>./RefIV/4353_12_1_03102020.csv</t>
  </si>
  <si>
    <t>./EL/4280_12_1_02102021_80.tiff</t>
  </si>
  <si>
    <t>./EL/4280_12_1_02102021_20.tiff</t>
  </si>
  <si>
    <t>./IV/4280_12_1_02092021.csv</t>
  </si>
  <si>
    <t>./RefIV/4280_12_1_02092021.csv</t>
  </si>
  <si>
    <t>./EL/4280_12_1_03112020_80.tiff</t>
  </si>
  <si>
    <t>./EL/4280_12_1_03112020_20.tiff</t>
  </si>
  <si>
    <t>./IV/4280_12_1_03102020.csv</t>
  </si>
  <si>
    <t>./RefIV/4280_12_1_03102020.csv</t>
  </si>
  <si>
    <t>./EL/4279_12_1_02102021_80.tiff</t>
  </si>
  <si>
    <t>./EL/4279_12_1_02102021_20.tiff</t>
  </si>
  <si>
    <t>./IV/4279_12_1_02092021.csv</t>
  </si>
  <si>
    <t>./RefIV/4279_12_1_02092021.csv</t>
  </si>
  <si>
    <t>./EL/4279_12_1_03112020_80.tiff</t>
  </si>
  <si>
    <t>./EL/4279_12_1_03112020_20.tiff</t>
  </si>
  <si>
    <t>./IV/4279_12_1_03102020.csv</t>
  </si>
  <si>
    <t>./RefIV/4279_12_1_03102020.csv</t>
  </si>
  <si>
    <t>./EL/4550_12_1_02102021_80.tiff</t>
  </si>
  <si>
    <t>./EL/4550_12_1_02102021_20.tiff</t>
  </si>
  <si>
    <t>./IV/4550_12_1_02092021.csv</t>
  </si>
  <si>
    <t>./RefIV/4550_12_1_02092021.csv</t>
  </si>
  <si>
    <t>./EL/4550_12_1_03232020_80.tiff</t>
  </si>
  <si>
    <t>./EL/4550_12_1_03232020_20.tiff</t>
  </si>
  <si>
    <t>./IV/4550_12_1_03172020.csv</t>
  </si>
  <si>
    <t>./RefIV/4550_12_1_03172020.csv</t>
  </si>
  <si>
    <t>./EL/4349_12_1_02102021_80.tiff</t>
  </si>
  <si>
    <t>./EL/4349_12_1_02102021_20.tiff</t>
  </si>
  <si>
    <t>./IV/4349_12_1_02092021.csv</t>
  </si>
  <si>
    <t>./RefIV/4349_12_1_02092021.csv</t>
  </si>
  <si>
    <t>./EL/4349_12_1_03112020_80.tiff</t>
  </si>
  <si>
    <t>./EL/4349_12_1_03112020_20.tiff</t>
  </si>
  <si>
    <t>./IV/4349_12_1_03102020.csv</t>
  </si>
  <si>
    <t>./RefIV/4349_12_1_03102020.csv</t>
  </si>
  <si>
    <t>./EL/4351_12_1_02102021_80.tiff</t>
  </si>
  <si>
    <t>./EL/4351_12_1_02102021_20.tiff</t>
  </si>
  <si>
    <t>./IV/4351_12_1_02092021.csv</t>
  </si>
  <si>
    <t>./RefIV/4351_12_1_02092021.csv</t>
  </si>
  <si>
    <t>./EL/4351_12_1_03112020_80.tiff</t>
  </si>
  <si>
    <t>./EL/4351_12_1_03112020_20.tiff</t>
  </si>
  <si>
    <t>./IV/4351_12_1_03102020.csv</t>
  </si>
  <si>
    <t>./RefIV/4351_12_1_03102020.csv</t>
  </si>
  <si>
    <t>./EL/4281_12_1_02102021_80.tiff</t>
  </si>
  <si>
    <t>./EL/4281_12_1_02102021_20.tiff</t>
  </si>
  <si>
    <t>./IV/4281_12_1_02092021.csv</t>
  </si>
  <si>
    <t>./RefIV/4281_12_1_02092021.csv</t>
  </si>
  <si>
    <t>./EL/4281_12_1_03112020_80.tiff</t>
  </si>
  <si>
    <t>./EL/4281_12_1_03112020_20.tiff</t>
  </si>
  <si>
    <t>./IV/4281_12_1_03102020.csv</t>
  </si>
  <si>
    <t>./RefIV/4281_12_1_03102020.csv</t>
  </si>
  <si>
    <t>./EL/4355_12_1_02102021_80.tiff</t>
  </si>
  <si>
    <t>./EL/4355_12_1_02102021_20.tiff</t>
  </si>
  <si>
    <t>./IV/4355_12_1_02092021.csv</t>
  </si>
  <si>
    <t>./RefIV/4355_12_1_02092021.csv</t>
  </si>
  <si>
    <t>./EL/4355_12_1_03112020_80.tiff</t>
  </si>
  <si>
    <t>./EL/4355_12_1_03112020_20.tiff</t>
  </si>
  <si>
    <t>./IV/4355_12_1_03102020.csv</t>
  </si>
  <si>
    <t>./RefIV/4355_12_1_03102020.csv</t>
  </si>
  <si>
    <t>./EL/4350_12_1_02102021_80.tiff</t>
  </si>
  <si>
    <t>./EL/4350_12_1_02102021_20.tiff</t>
  </si>
  <si>
    <t>./IV/4350_12_1_02092021.csv</t>
  </si>
  <si>
    <t>./RefIV/4350_12_1_02092021.csv</t>
  </si>
  <si>
    <t>./EL/4350_12_1_03112020_80.tiff</t>
  </si>
  <si>
    <t>./EL/4350_12_1_03112020_20.tiff</t>
  </si>
  <si>
    <t>./IV/4350_12_1_03102020.csv</t>
  </si>
  <si>
    <t>./RefIV/4350_12_1_03102020.csv</t>
  </si>
  <si>
    <t>./EL/4282_12_1_02102021_80.tiff</t>
  </si>
  <si>
    <t>./EL/4282_12_1_02102021_20.tiff</t>
  </si>
  <si>
    <t>./IV/4282_12_1_02092021.csv</t>
  </si>
  <si>
    <t>./RefIV/4282_12_1_02092021.csv</t>
  </si>
  <si>
    <t>./EL/4282_12_1_03112020_80.tiff</t>
  </si>
  <si>
    <t>./EL/4282_12_1_03112020_20.tiff</t>
  </si>
  <si>
    <t>./IV/4282_12_1_03102020.csv</t>
  </si>
  <si>
    <t>./RefIV/4282_12_1_03102020.csv</t>
  </si>
  <si>
    <t>./EL/4539_12_1_03232020_80.tiff</t>
  </si>
  <si>
    <t>./EL/4539_12_1_03232020_20.tiff</t>
  </si>
  <si>
    <t>./IV/4539_12_1_03172020.csv</t>
  </si>
  <si>
    <t>./RefIV/4539_12_1_03172020.csv</t>
  </si>
  <si>
    <t>./EL/4533_12_1_03112020_80.tiff</t>
  </si>
  <si>
    <t>./EL/4533_12_1_03112020_20.tiff</t>
  </si>
  <si>
    <t>./IV/4533_12_1_03102020.csv</t>
  </si>
  <si>
    <t>./RefIV/4533_12_1_03102020.csv</t>
  </si>
  <si>
    <t>./EL/4529_12_1_03112020_80.tiff</t>
  </si>
  <si>
    <t>./EL/4529_12_1_03112020_20.tiff</t>
  </si>
  <si>
    <t>./IV/4529_12_1_03102020.csv</t>
  </si>
  <si>
    <t>./RefIV/4529_12_1_03102020.csv</t>
  </si>
  <si>
    <t>./EL/4529_12_1_02082021_80.tiff</t>
  </si>
  <si>
    <t>./EL/4529_12_1_02082021_20.tiff</t>
  </si>
  <si>
    <t>./IV/4529_12_1_02022021.csv</t>
  </si>
  <si>
    <t>./RefIV/4529_12_1_02022021.csv</t>
  </si>
  <si>
    <t>./EL/4538_12_1_03112020_80.tiff</t>
  </si>
  <si>
    <t>./EL/4538_12_1_03112020_20.tiff</t>
  </si>
  <si>
    <t>./IV/4538_12_1_03102020.csv</t>
  </si>
  <si>
    <t>./RefIV/4538_12_1_03102020.csv</t>
  </si>
  <si>
    <t>./EL/4527_12_1_03112020_80.tiff</t>
  </si>
  <si>
    <t>./EL/4527_12_1_03112020_20.tiff</t>
  </si>
  <si>
    <t>./IV/4527_12_1_03102020.csv</t>
  </si>
  <si>
    <t>./RefIV/4527_12_1_03102020.csv</t>
  </si>
  <si>
    <t>./EL/4542_12_1_03232020_80.tiff</t>
  </si>
  <si>
    <t>./EL/4542_12_1_03232020_20.tiff</t>
  </si>
  <si>
    <t>./IV/4542_12_1_03172020.csv</t>
  </si>
  <si>
    <t>./RefIV/4542_12_1_03172020.csv</t>
  </si>
  <si>
    <t>./EL/4509_12_1_03112020_80.tiff</t>
  </si>
  <si>
    <t>./EL/4509_12_1_03112020_20.tiff</t>
  </si>
  <si>
    <t>./IV/4509_12_1_03102020.csv</t>
  </si>
  <si>
    <t>./RefIV/4509_12_1_03102020.csv</t>
  </si>
  <si>
    <t>./EL/4516_12_1_03112020_80.tiff</t>
  </si>
  <si>
    <t>./EL/4516_12_1_03112020_20.tiff</t>
  </si>
  <si>
    <t>./IV/4516_12_1_03102020.csv</t>
  </si>
  <si>
    <t>./RefIV/4516_12_1_03102020.csv</t>
  </si>
  <si>
    <t>./EL/4548_12_1_03232020_80.tiff</t>
  </si>
  <si>
    <t>./EL/4548_12_1_03232020_20.tiff</t>
  </si>
  <si>
    <t>./IV/4548_12_1_03172020.csv</t>
  </si>
  <si>
    <t>./RefIV/4548_12_1_03172020.csv</t>
  </si>
  <si>
    <t>OE 322 days</t>
  </si>
  <si>
    <t>./EL/4548_12_1_02082021_80.tiff</t>
  </si>
  <si>
    <t>./EL/4548_12_1_02082021_20.tiff</t>
  </si>
  <si>
    <t>./IV/4548_12_1_02022021.csv</t>
  </si>
  <si>
    <t>./RefIV/4548_12_1_02022021.csv</t>
  </si>
  <si>
    <t>./EL/4555_12_1_03232020_80.tiff</t>
  </si>
  <si>
    <t>./EL/4555_12_1_03232020_20.tiff</t>
  </si>
  <si>
    <t>./IV/4555_12_1_03172020.csv</t>
  </si>
  <si>
    <t>./RefIV/4555_12_1_03172020.csv</t>
  </si>
  <si>
    <t>./EL/4513_12_1_03112020_80.tiff</t>
  </si>
  <si>
    <t>./EL/4513_12_1_03112020_20.tiff</t>
  </si>
  <si>
    <t>./IV/4513_12_1_03102020.csv</t>
  </si>
  <si>
    <t>./RefIV/4513_12_1_03102020.csv</t>
  </si>
  <si>
    <t>./EL/4511_12_1_03112020_80.tiff</t>
  </si>
  <si>
    <t>./EL/4511_12_1_03112020_20.tiff</t>
  </si>
  <si>
    <t>./IV/4511_12_1_03102020.csv</t>
  </si>
  <si>
    <t>./RefIV/4511_12_1_03102020.csv</t>
  </si>
  <si>
    <t>./EL/4556_12_1_03232020_80.tiff</t>
  </si>
  <si>
    <t>./EL/4556_12_1_03232020_20.tiff</t>
  </si>
  <si>
    <t>./IV/4556_12_1_03172020.csv</t>
  </si>
  <si>
    <t>./RefIV/4556_12_1_03172020.csv</t>
  </si>
  <si>
    <t>./EL/4514_12_1_03112020_80.tiff</t>
  </si>
  <si>
    <t>./EL/4514_12_1_03112020_20.tiff</t>
  </si>
  <si>
    <t>./IV/4514_12_1_03102020.csv</t>
  </si>
  <si>
    <t>./RefIV/4514_12_1_03102020.csv</t>
  </si>
  <si>
    <t>./EL/4535_12_1_03112020_80.tiff</t>
  </si>
  <si>
    <t>./EL/4535_12_1_03112020_20.tiff</t>
  </si>
  <si>
    <t>./IV/4535_12_1_03102020.csv</t>
  </si>
  <si>
    <t>./RefIV/4535_12_1_03102020.csv</t>
  </si>
  <si>
    <t>./EL/4536_12_1_03112020_80.tiff</t>
  </si>
  <si>
    <t>./EL/4536_12_1_03112020_20.tiff</t>
  </si>
  <si>
    <t>./IV/4536_12_1_03102020.csv</t>
  </si>
  <si>
    <t>./RefIV/4536_12_1_03102020.csv</t>
  </si>
  <si>
    <t>./EL/4518_12_1_03112020_80.tiff</t>
  </si>
  <si>
    <t>./EL/4518_12_1_03112020_20.tiff</t>
  </si>
  <si>
    <t>./IV/4518_12_1_03102020.csv</t>
  </si>
  <si>
    <t>./RefIV/4518_12_1_03102020.csv</t>
  </si>
  <si>
    <t>./EL/4557_12_1_03232020_80.tiff</t>
  </si>
  <si>
    <t>./EL/4557_12_1_03232020_20.tiff</t>
  </si>
  <si>
    <t>./IV/4557_12_1_03172020.csv</t>
  </si>
  <si>
    <t>./RefIV/4557_12_1_03172020.csv</t>
  </si>
  <si>
    <t>./EL/4519_12_1_03112020_80.tiff</t>
  </si>
  <si>
    <t>./EL/4519_12_1_03112020_20.tiff</t>
  </si>
  <si>
    <t>./IV/4519_12_1_03102020.csv</t>
  </si>
  <si>
    <t>./RefIV/4519_12_1_03102020.csv</t>
  </si>
  <si>
    <t>./EL/4519_12_1_02082021_20.tiff</t>
  </si>
  <si>
    <t>./IV/4519_12_1_02022021.csv</t>
  </si>
  <si>
    <t>./RefIV/4519_12_1_02022021.csv</t>
  </si>
  <si>
    <t>./EL/4517_12_1_03112020_80.tiff</t>
  </si>
  <si>
    <t>./EL/4517_12_1_03112020_20.tiff</t>
  </si>
  <si>
    <t>./IV/4517_12_1_03102020.csv</t>
  </si>
  <si>
    <t>./RefIV/4517_12_1_03102020.csv</t>
  </si>
  <si>
    <t>./EL/4524_12_1_03112020_80.tiff</t>
  </si>
  <si>
    <t>./EL/4524_12_1_03112020_20.tiff</t>
  </si>
  <si>
    <t>./IV/4524_12_1_03102020.csv</t>
  </si>
  <si>
    <t>./RefIV/4524_12_1_03102020.csv</t>
  </si>
  <si>
    <t>./EL/4524_12_1_02082021_80.tiff</t>
  </si>
  <si>
    <t>./EL/4524_12_1_02082021_20.tiff</t>
  </si>
  <si>
    <t>./IV/4524_12_1_02022021.csv</t>
  </si>
  <si>
    <t>./RefIV/4524_12_1_02022021.csv</t>
  </si>
  <si>
    <t>./EL/4530_12_1_03112020_80.tiff</t>
  </si>
  <si>
    <t>./EL/4530_12_1_03112020_20.tiff</t>
  </si>
  <si>
    <t>./IV/4530_12_1_03102020.csv</t>
  </si>
  <si>
    <t>./RefIV/4530_12_1_03102020.csv</t>
  </si>
  <si>
    <t>./EL/4521_12_1_03112020_80.tiff</t>
  </si>
  <si>
    <t>./EL/4521_12_1_03112020_20.tiff</t>
  </si>
  <si>
    <t>./IV/4521_12_1_03102020.csv</t>
  </si>
  <si>
    <t>./RefIV/4521_12_1_03102020.csv</t>
  </si>
  <si>
    <t>./EL/4354_12_1_03112020_80.tiff</t>
  </si>
  <si>
    <t>./EL/4354_12_1_03112020_20.tiff</t>
  </si>
  <si>
    <t>./IV/4354_12_1_03102020.csv</t>
  </si>
  <si>
    <t>./RefIV/4354_12_1_03102020.csv</t>
  </si>
  <si>
    <t>./EL/4522_12_1_03112020_80.tiff</t>
  </si>
  <si>
    <t>./EL/4522_12_1_03112020_20.tiff</t>
  </si>
  <si>
    <t>./IV/4522_12_1_03102020.csv</t>
  </si>
  <si>
    <t>./RefIV/4522_12_1_03102020.csv</t>
  </si>
  <si>
    <t>./EL/4525_12_1_03112020_80.tiff</t>
  </si>
  <si>
    <t>./EL/4525_12_1_03112020_20.tiff</t>
  </si>
  <si>
    <t>./IV/4525_12_1_03102020.csv</t>
  </si>
  <si>
    <t>./RefIV/4525_12_1_03102020.csv</t>
  </si>
  <si>
    <t>./EL/4525_12_1_02082021_80.tiff</t>
  </si>
  <si>
    <t>./EL/4525_12_1_02082021_20.tiff</t>
  </si>
  <si>
    <t>./IV/4525_12_1_02022021.csv</t>
  </si>
  <si>
    <t>./RefIV/4525_12_1_02022021.csv</t>
  </si>
  <si>
    <t>./EL/4546_12_1_03232020_80.tiff</t>
  </si>
  <si>
    <t>./EL/4546_12_1_03232020_20.tiff</t>
  </si>
  <si>
    <t>./IV/4546_12_1_03172020.csv</t>
  </si>
  <si>
    <t>./RefIV/4546_12_1_03172020.csv</t>
  </si>
  <si>
    <t>./EL/4558_12_1_03232020_80.tiff</t>
  </si>
  <si>
    <t>./EL/4558_12_1_03232020_20.tiff</t>
  </si>
  <si>
    <t>./IV/4558_12_1_03172020.csv</t>
  </si>
  <si>
    <t>./RefIV/4558_12_1_03172020.csv</t>
  </si>
  <si>
    <t>./EL/4558_12_1_02082021_80.tiff</t>
  </si>
  <si>
    <t>./EL/4558_12_1_02082021_20.tiff</t>
  </si>
  <si>
    <t>./IV/4558_12_1_02022021.csv</t>
  </si>
  <si>
    <t>./RefIV/4558_12_1_02022021.csv</t>
  </si>
  <si>
    <t>./EL/4551_12_1_03232020_80.tiff</t>
  </si>
  <si>
    <t>./EL/4551_12_1_03232020_20.tiff</t>
  </si>
  <si>
    <t>./IV/4551_12_1_03172020.csv</t>
  </si>
  <si>
    <t>./RefIV/4551_12_1_03172020.csv</t>
  </si>
  <si>
    <t>./EL/4551_12_1_02082021_80.tiff</t>
  </si>
  <si>
    <t>./EL/4551_12_1_02082021_20.tiff</t>
  </si>
  <si>
    <t>./IV/4551_12_1_02022021.csv</t>
  </si>
  <si>
    <t>./RefIV/4551_12_1_02022021.csv</t>
  </si>
  <si>
    <t>./EL/4541_12_1_03232020_80.tiff</t>
  </si>
  <si>
    <t>./EL/4541_12_1_03232020_20.tiff</t>
  </si>
  <si>
    <t>./IV/4541_12_1_03172020.csv</t>
  </si>
  <si>
    <t>./RefIV/4541_12_1_03172020.csv</t>
  </si>
  <si>
    <t>./EL/4541_12_1_02082021_80.tiff</t>
  </si>
  <si>
    <t>./EL/4541_12_1_02082021_20.tiff</t>
  </si>
  <si>
    <t>./IV/4541_12_1_02022021.csv</t>
  </si>
  <si>
    <t>./RefIV/4541_12_1_02022021.csv</t>
  </si>
  <si>
    <t>./EL/4510_12_1_03112020_80.tiff</t>
  </si>
  <si>
    <t>./EL/4510_12_1_03112020_20.tiff</t>
  </si>
  <si>
    <t>./IV/4510_12_1_03102020.csv</t>
  </si>
  <si>
    <t>./RefIV/4510_12_1_03102020.csv</t>
  </si>
  <si>
    <t>./EL/4547_12_1_03232020_80.tiff</t>
  </si>
  <si>
    <t>./EL/4547_12_1_03232020_20.tiff</t>
  </si>
  <si>
    <t>./IV/4547_12_1_03172020.csv</t>
  </si>
  <si>
    <t>./RefIV/4547_12_1_03172020.csv</t>
  </si>
  <si>
    <t>./EL/4540_12_1_03232020_80.tiff</t>
  </si>
  <si>
    <t>./EL/4540_12_1_03232020_20.tiff</t>
  </si>
  <si>
    <t>./IV/4540_12_1_03172020.csv</t>
  </si>
  <si>
    <t>./RefIV/4540_12_1_03172020.csv</t>
  </si>
  <si>
    <t>./EL/4512_12_1_03112020_80.tiff</t>
  </si>
  <si>
    <t>./EL/4512_12_1_03112020_20.tiff</t>
  </si>
  <si>
    <t>./IV/4512_12_1_03102020.csv</t>
  </si>
  <si>
    <t>./RefIV/4512_12_1_03102020.csv</t>
  </si>
  <si>
    <t>./EL/4512_12_1_02082021_80.tiff</t>
  </si>
  <si>
    <t>./EL/4512_12_1_02082021_20.tiff</t>
  </si>
  <si>
    <t>./IV/4512_12_1_02022021.csv</t>
  </si>
  <si>
    <t>./RefIV/4512_12_1_02022021.csv</t>
  </si>
  <si>
    <t>./EL/4549_12_1_03232020_80.tiff</t>
  </si>
  <si>
    <t>./EL/4549_12_1_03232020_20.tiff</t>
  </si>
  <si>
    <t>./IV/4549_12_1_03172020.csv</t>
  </si>
  <si>
    <t>./RefIV/4549_12_1_03172020.csv</t>
  </si>
  <si>
    <t>./EL/4531_12_1_03112020_80.tiff</t>
  </si>
  <si>
    <t>./EL/4531_12_1_03112020_20.tiff</t>
  </si>
  <si>
    <t>./IV/4531_12_1_03102020.csv</t>
  </si>
  <si>
    <t>./RefIV/4531_12_1_03102020.csv</t>
  </si>
  <si>
    <t>./EL/4515_12_1_03112020_80.tiff</t>
  </si>
  <si>
    <t>./EL/4515_12_1_03112020_20.tiff</t>
  </si>
  <si>
    <t>./IV/4515_12_1_03102020.csv</t>
  </si>
  <si>
    <t>./RefIV/4515_12_1_03102020.csv</t>
  </si>
  <si>
    <t>./EL/4523_12_1_03112020_80.tiff</t>
  </si>
  <si>
    <t>./EL/4523_12_1_03112020_20.tiff</t>
  </si>
  <si>
    <t>./IV/4523_12_1_03102020.csv</t>
  </si>
  <si>
    <t>./RefIV/4523_12_1_03102020.csv</t>
  </si>
  <si>
    <t>./EL/4552_12_1_03232020_80.tiff</t>
  </si>
  <si>
    <t>./EL/4552_12_1_03232020_20.tiff</t>
  </si>
  <si>
    <t>./IV/4552_12_1_03172020.csv</t>
  </si>
  <si>
    <t>./RefIV/4552_12_1_03172020.csv</t>
  </si>
  <si>
    <t>./EL/4543_12_1_03232020_80.tiff</t>
  </si>
  <si>
    <t>./EL/4543_12_1_03232020_20.tiff</t>
  </si>
  <si>
    <t>./IV/4543_12_1_03172020.csv</t>
  </si>
  <si>
    <t>./RefIV/4543_12_1_03172020.csv</t>
  </si>
  <si>
    <t>./EL/4544_12_1_03232020_80.tiff</t>
  </si>
  <si>
    <t>./EL/4544_12_1_03232020_20.tiff</t>
  </si>
  <si>
    <t>./IV/4544_12_1_03172020.csv</t>
  </si>
  <si>
    <t>./RefIV/4544_12_1_03172020.csv</t>
  </si>
  <si>
    <t>./EL/4545_12_1_03232020_80.tiff</t>
  </si>
  <si>
    <t>./EL/4545_12_1_03232020_20.tiff</t>
  </si>
  <si>
    <t>./IV/4545_12_1_03172020.csv</t>
  </si>
  <si>
    <t>./RefIV/4545_12_1_03172020.csv</t>
  </si>
  <si>
    <t>./EL/4534_12_1_03112020_80.tiff</t>
  </si>
  <si>
    <t>./EL/4534_12_1_03112020_20.tiff</t>
  </si>
  <si>
    <t>./IV/4534_12_1_03102020.csv</t>
  </si>
  <si>
    <t>./RefIV/4534_12_1_03102020.csv</t>
  </si>
  <si>
    <t>./EL/4534_12_1_02082021_80.tiff</t>
  </si>
  <si>
    <t>./EL/4534_12_1_02082021_20.tiff</t>
  </si>
  <si>
    <t>./IV/4534_12_1_02022021.csv</t>
  </si>
  <si>
    <t>./RefIV/4534_12_1_02022021.csv</t>
  </si>
  <si>
    <t>./EL/4520_12_1_03112020_80.tiff</t>
  </si>
  <si>
    <t>./EL/4520_12_1_03112020_20.tiff</t>
  </si>
  <si>
    <t>./IV/4520_12_1_03102020.csv</t>
  </si>
  <si>
    <t>./RefIV/4520_12_1_03102020.csv</t>
  </si>
  <si>
    <t>./EL/4537_12_1_03112020_80.tiff</t>
  </si>
  <si>
    <t>./EL/4537_12_1_03112020_20.tiff</t>
  </si>
  <si>
    <t>./IV/4537_12_1_03102020.csv</t>
  </si>
  <si>
    <t>./RefIV/4537_12_1_03102020.csv</t>
  </si>
  <si>
    <t>./EL/4553_12_1_03232020_80.tiff</t>
  </si>
  <si>
    <t>./EL/4553_12_1_03232020_20.tiff</t>
  </si>
  <si>
    <t>./IV/4553_12_1_03172020.csv</t>
  </si>
  <si>
    <t>./RefIV/4553_12_1_03172020.csv</t>
  </si>
  <si>
    <t>./EL/4532_12_1_03112020_80.tiff</t>
  </si>
  <si>
    <t>./EL/4532_12_1_03112020_20.tiff</t>
  </si>
  <si>
    <t>./IV/4532_12_1_03102020.csv</t>
  </si>
  <si>
    <t>./RefIV/4532_12_1_03102020.csv</t>
  </si>
  <si>
    <t>./EL/4528_12_1_03112020_80.tiff</t>
  </si>
  <si>
    <t>./EL/4528_12_1_03112020_20.tiff</t>
  </si>
  <si>
    <t>./IV/4528_12_1_03102020.csv</t>
  </si>
  <si>
    <t>./RefIV/4528_12_1_03102020.csv</t>
  </si>
  <si>
    <t>./EL/4526_12_1_03112020_80.tiff</t>
  </si>
  <si>
    <t>./EL/4526_12_1_03112020_20.tiff</t>
  </si>
  <si>
    <t>./IV/4526_12_1_03102020.csv</t>
  </si>
  <si>
    <t>./RefIV/4526_12_1_03102020.csv</t>
  </si>
  <si>
    <t>OE 1685 days</t>
  </si>
  <si>
    <t>./EL/3458_38_4_01292021_80.tiff</t>
  </si>
  <si>
    <t>./EL/3458_38_4_01292021_20.tiff</t>
  </si>
  <si>
    <t>./IV/3458_38_4_02092021.csv</t>
  </si>
  <si>
    <t>./RefIV/3458_38_4_02092021.csv</t>
  </si>
  <si>
    <t>6/30/2016</t>
  </si>
  <si>
    <t>OE 1686 days</t>
  </si>
  <si>
    <t>./EL/3416_38_4_01292021_80.tiff</t>
  </si>
  <si>
    <t>./EL/3416_38_4_01292021_20.tiff</t>
  </si>
  <si>
    <t>./IV/3416_38_4_02092021.csv</t>
  </si>
  <si>
    <t>./RefIV/3416_38_4_02092021.csv</t>
  </si>
  <si>
    <t>6/29/2016</t>
  </si>
  <si>
    <t>./EL/3420_38_4_01292021_80.tiff</t>
  </si>
  <si>
    <t>./EL/3420_38_4_01292021_20.tiff</t>
  </si>
  <si>
    <t>./IV/3420_38_4_02092021.csv</t>
  </si>
  <si>
    <t>./RefIV/3420_38_4_02092021.csv</t>
  </si>
  <si>
    <t>./EL/3427_38_4_01292021_80.tiff</t>
  </si>
  <si>
    <t>./EL/3427_38_4_01292021_20.tiff</t>
  </si>
  <si>
    <t>./IV/3427_38_4_02092021.csv</t>
  </si>
  <si>
    <t>./RefIV/3427_38_4_02092021.csv</t>
  </si>
  <si>
    <t>./EL/3453_38_4_01292021_80.tiff</t>
  </si>
  <si>
    <t>./EL/3453_38_4_01292021_20.tiff</t>
  </si>
  <si>
    <t>./IV/3453_38_4_02092021.csv</t>
  </si>
  <si>
    <t>./RefIV/3453_38_4_02092021.csv</t>
  </si>
  <si>
    <t>OE 1029 days</t>
  </si>
  <si>
    <t>./EL/3471_38_4_01292021_80.tiff</t>
  </si>
  <si>
    <t>./EL/3471_38_4_01292021_20.tiff</t>
  </si>
  <si>
    <t>./IV/3471_38_4_02092021.csv</t>
  </si>
  <si>
    <t>./RefIV/3471_38_4_02092021.csv</t>
  </si>
  <si>
    <t>4/17/2018</t>
  </si>
  <si>
    <t>./EL/3413_38_4_01292021_80.tiff</t>
  </si>
  <si>
    <t>./EL/3413_38_4_01292021_20.tiff</t>
  </si>
  <si>
    <t>./IV/3413_38_4_02092021.csv</t>
  </si>
  <si>
    <t>./RefIV/3413_38_4_02092021.csv</t>
  </si>
  <si>
    <t>./EL/3452_38_4_01292021_80.tiff</t>
  </si>
  <si>
    <t>./EL/3452_38_4_01292021_20.tiff</t>
  </si>
  <si>
    <t>./IV/3452_38_4_02092021.csv</t>
  </si>
  <si>
    <t>./RefIV/3452_38_4_02092021.csv</t>
  </si>
  <si>
    <t>./EL/3465_38_4_01292021_80.tiff</t>
  </si>
  <si>
    <t>./EL/3465_38_4_01292021_20.tiff</t>
  </si>
  <si>
    <t>./IV/3465_38_4_02092021.csv</t>
  </si>
  <si>
    <t>./RefIV/3465_38_4_02092021.csv</t>
  </si>
  <si>
    <t>./EL/3417_38_4_01292021_80.tiff</t>
  </si>
  <si>
    <t>./EL/3417_38_4_01292021_20.tiff</t>
  </si>
  <si>
    <t>./IV/3417_38_4_02092021.csv</t>
  </si>
  <si>
    <t>./RefIV/3417_38_4_02092021.csv</t>
  </si>
  <si>
    <t>./EL/3459_38_4_01292021_80.tiff</t>
  </si>
  <si>
    <t>./EL/3459_38_4_01292021_20.tiff</t>
  </si>
  <si>
    <t>./IV/3459_38_4_02092021.csv</t>
  </si>
  <si>
    <t>./RefIV/3459_38_4_02092021.csv</t>
  </si>
  <si>
    <t>./EL/3456_38_4_01292021_80.tiff</t>
  </si>
  <si>
    <t>./EL/3456_38_4_01292021_20.tiff</t>
  </si>
  <si>
    <t>./IV/3456_38_4_02092021.csv</t>
  </si>
  <si>
    <t>./RefIV/3456_38_4_02092021.csv</t>
  </si>
  <si>
    <t>./EL/3457_38_4_01292021_80.tiff</t>
  </si>
  <si>
    <t>./EL/3457_38_4_01292021_20.tiff</t>
  </si>
  <si>
    <t>./IV/3457_38_4_02092021.csv</t>
  </si>
  <si>
    <t>./RefIV/3457_38_4_02092021.csv</t>
  </si>
  <si>
    <t>./EL/3463_38_4_01292021_80.tiff</t>
  </si>
  <si>
    <t>./EL/3463_38_4_01292021_20.tiff</t>
  </si>
  <si>
    <t>./IV/3463_38_4_02092021.csv</t>
  </si>
  <si>
    <t>./RefIV/3463_38_4_02092021.csv</t>
  </si>
  <si>
    <t>./EL/3436_38_4_01292021_80.tiff</t>
  </si>
  <si>
    <t>./EL/3436_38_4_01292021_20.tiff</t>
  </si>
  <si>
    <t>./IV/3436_38_4_02092021.csv</t>
  </si>
  <si>
    <t>./RefIV/3436_38_4_02092021.csv</t>
  </si>
  <si>
    <t>./EL/3441_38_4_01292021_80.tiff</t>
  </si>
  <si>
    <t>./EL/3441_38_4_01292021_20.tiff</t>
  </si>
  <si>
    <t>./IV/3441_38_4_02092021.csv</t>
  </si>
  <si>
    <t>./RefIV/3441_38_4_02092021.csv</t>
  </si>
  <si>
    <t>OE 1120 days</t>
  </si>
  <si>
    <t>./EL/3865_17_1_02222021_80.tiff</t>
  </si>
  <si>
    <t>./EL/3865_17_1_02222021_20.tiff</t>
  </si>
  <si>
    <t>./IV/3865_17_1_02102021.csv</t>
  </si>
  <si>
    <t>./RefIV/3865_17_1_02102021.csv</t>
  </si>
  <si>
    <t>1/17/2018</t>
  </si>
  <si>
    <t>OE 734 days</t>
  </si>
  <si>
    <t>./EL/3865_17_1_01302020_80.tiff</t>
  </si>
  <si>
    <t>./EL/3865_17_1_01302020_20.tiff</t>
  </si>
  <si>
    <t>./IV/3865_17_1_01212020.csv</t>
  </si>
  <si>
    <t>./RefIV/3865_17_1_01212020.csv</t>
  </si>
  <si>
    <t>./EL/3873_17_1_02222021_80.tiff</t>
  </si>
  <si>
    <t>./EL/3873_17_1_02222021_20.tiff</t>
  </si>
  <si>
    <t>./IV/3873_17_1_02102021.csv</t>
  </si>
  <si>
    <t>./RefIV/3873_17_1_02102021.csv</t>
  </si>
  <si>
    <t>./EL/3858_17_1_02222021_80.tiff</t>
  </si>
  <si>
    <t>./EL/3858_17_1_02222021_20.tiff</t>
  </si>
  <si>
    <t>./IV/3858_17_1_02102021.csv</t>
  </si>
  <si>
    <t>./RefIV/3858_17_1_02102021.csv</t>
  </si>
  <si>
    <t>./EL/3858_17_1_01302020_80.tiff</t>
  </si>
  <si>
    <t>./EL/3858_17_1_01302020_20.tiff</t>
  </si>
  <si>
    <t>./IV/3858_17_1_01212020.csv</t>
  </si>
  <si>
    <t>./RefIV/3858_17_1_01212020.csv</t>
  </si>
  <si>
    <t>./EL/3874_17_1_02222021_80.tiff</t>
  </si>
  <si>
    <t>./EL/3874_17_1_02222021_20.tiff</t>
  </si>
  <si>
    <t>./IV/3874_17_1_02102021.csv</t>
  </si>
  <si>
    <t>./RefIV/3874_17_1_02102021.csv</t>
  </si>
  <si>
    <t>./EL/3874_17_1_01302020_80.tiff</t>
  </si>
  <si>
    <t>./EL/3874_17_1_01302020_20.tiff</t>
  </si>
  <si>
    <t>./IV/3874_17_1_01212020.csv</t>
  </si>
  <si>
    <t>./RefIV/3874_17_1_01212020.csv</t>
  </si>
  <si>
    <t>./EL/3870_17_1_02222021_80.tiff</t>
  </si>
  <si>
    <t>./EL/3870_17_1_02222021_20.tiff</t>
  </si>
  <si>
    <t>./IV/3870_17_1_02102021.csv</t>
  </si>
  <si>
    <t>./RefIV/3870_17_1_02102021.csv</t>
  </si>
  <si>
    <t>./EL/3870_17_1_01302020_80.tiff</t>
  </si>
  <si>
    <t>./EL/3870_17_1_01302020_20.tiff</t>
  </si>
  <si>
    <t>./IV/3870_17_1_01212020.csv</t>
  </si>
  <si>
    <t>./RefIV/3870_17_1_01212020.csv</t>
  </si>
  <si>
    <t>./EL/3868_17_1_02222021_80.tiff</t>
  </si>
  <si>
    <t>./EL/3868_17_1_02222021_20.tiff</t>
  </si>
  <si>
    <t>./IV/3868_17_1_02102021.csv</t>
  </si>
  <si>
    <t>./RefIV/3868_17_1_02102021.csv</t>
  </si>
  <si>
    <t>./EL/3868_17_1_01302020_80.tiff</t>
  </si>
  <si>
    <t>./EL/3868_17_1_01302020_20.tiff</t>
  </si>
  <si>
    <t>./IV/3868_17_1_01212020.csv</t>
  </si>
  <si>
    <t>./RefIV/3868_17_1_01212020.csv</t>
  </si>
  <si>
    <t>./EL/3866_17_1_02222021_80.tiff</t>
  </si>
  <si>
    <t>./EL/3866_17_1_02222021_20.tiff</t>
  </si>
  <si>
    <t>./IV/3866_17_1_02102021.csv</t>
  </si>
  <si>
    <t>./RefIV/3866_17_1_02102021.csv</t>
  </si>
  <si>
    <t>./EL/3866_17_1_01302020_80.tiff</t>
  </si>
  <si>
    <t>./EL/3866_17_1_01302020_20.tiff</t>
  </si>
  <si>
    <t>./IV/3866_17_1_01212020.csv</t>
  </si>
  <si>
    <t>./RefIV/3866_17_1_01212020.csv</t>
  </si>
  <si>
    <t>OE 940 days</t>
  </si>
  <si>
    <t>./EL/4061_17_1_02222021_80.tiff</t>
  </si>
  <si>
    <t>./EL/4061_17_1_02222021_20.tiff</t>
  </si>
  <si>
    <t>./IV/4061_17_1_02102021.csv</t>
  </si>
  <si>
    <t>./RefIV/4061_17_1_02102021.csv</t>
  </si>
  <si>
    <t>7/16/2018</t>
  </si>
  <si>
    <t>./EL/4050_17_1_02222021_80.tiff</t>
  </si>
  <si>
    <t>./EL/4050_17_1_02222021_20.tiff</t>
  </si>
  <si>
    <t>./IV/4050_17_1_02102021.csv</t>
  </si>
  <si>
    <t>./RefIV/4050_17_1_02102021.csv</t>
  </si>
  <si>
    <t>./EL/3857_17_1_02222021_80.tiff</t>
  </si>
  <si>
    <t>./EL/3857_17_1_02222021_20.tiff</t>
  </si>
  <si>
    <t>./IV/3857_17_1_02102021.csv</t>
  </si>
  <si>
    <t>./RefIV/3857_17_1_02102021.csv</t>
  </si>
  <si>
    <t>./EL/3857_17_1_01302020_80.tiff</t>
  </si>
  <si>
    <t>./EL/3857_17_1_01302020_20.tiff</t>
  </si>
  <si>
    <t>./IV/3857_17_1_01212020.csv</t>
  </si>
  <si>
    <t>./RefIV/3857_17_1_01212020.csv</t>
  </si>
  <si>
    <t>./EL/3880_17_1_02222021_80.tiff</t>
  </si>
  <si>
    <t>./EL/3880_17_1_02222021_20.tiff</t>
  </si>
  <si>
    <t>./IV/3880_17_1_02102021.csv</t>
  </si>
  <si>
    <t>./RefIV/3880_17_1_02102021.csv</t>
  </si>
  <si>
    <t>./EL/3880_17_1_01302020_80.tiff</t>
  </si>
  <si>
    <t>./EL/3880_17_1_01302020_20.tiff</t>
  </si>
  <si>
    <t>./IV/3880_17_1_01212020.csv</t>
  </si>
  <si>
    <t>./RefIV/3880_17_1_01212020.csv</t>
  </si>
  <si>
    <t>./EL/3878_17_1_02222021_80.tiff</t>
  </si>
  <si>
    <t>./EL/3878_17_1_02222021_20.tiff</t>
  </si>
  <si>
    <t>./IV/3878_17_1_02102021.csv</t>
  </si>
  <si>
    <t>./RefIV/3878_17_1_02102021.csv</t>
  </si>
  <si>
    <t>OE 939 days</t>
  </si>
  <si>
    <t>./EL/3867_17_1_02222021_80.tiff</t>
  </si>
  <si>
    <t>./EL/3867_17_1_02222021_20.tiff</t>
  </si>
  <si>
    <t>./IV/3867_17_1_02102021.csv</t>
  </si>
  <si>
    <t>./RefIV/3867_17_1_02102021.csv</t>
  </si>
  <si>
    <t>7/17/2018</t>
  </si>
  <si>
    <t>OE 553 days</t>
  </si>
  <si>
    <t>./EL/3867_17_1_01302020_80.tiff</t>
  </si>
  <si>
    <t>./EL/3867_17_1_01302020_20.tiff</t>
  </si>
  <si>
    <t>./IV/3867_17_1_01212020.csv</t>
  </si>
  <si>
    <t>./RefIV/3867_17_1_01212020.csv</t>
  </si>
  <si>
    <t>./EL/3876_17_1_02222021_80.tiff</t>
  </si>
  <si>
    <t>./EL/3876_17_1_02222021_20.tiff</t>
  </si>
  <si>
    <t>./IV/3876_17_1_02102021.csv</t>
  </si>
  <si>
    <t>./RefIV/3876_17_1_02102021.csv</t>
  </si>
  <si>
    <t>./EL/3876_17_1_01302020_80.tiff</t>
  </si>
  <si>
    <t>./EL/3876_17_1_01302020_20.tiff</t>
  </si>
  <si>
    <t>./IV/3876_17_1_01212020.csv</t>
  </si>
  <si>
    <t>./RefIV/3876_17_1_01212020.csv</t>
  </si>
  <si>
    <t>./EL/3859_17_1_02222021_80.tiff</t>
  </si>
  <si>
    <t>./EL/3859_17_1_02222021_20.tiff</t>
  </si>
  <si>
    <t>./IV/3859_17_1_02102021.csv</t>
  </si>
  <si>
    <t>./RefIV/3859_17_1_02102021.csv</t>
  </si>
  <si>
    <t>./EL/3859_17_1_01302020_80.tiff</t>
  </si>
  <si>
    <t>./EL/3859_17_1_01302020_20.tiff</t>
  </si>
  <si>
    <t>./IV/3859_17_1_01212020.csv</t>
  </si>
  <si>
    <t>./RefIV/3859_17_1_01212020.csv</t>
  </si>
  <si>
    <t>./EL/4166_17_1_01302020_80.tiff</t>
  </si>
  <si>
    <t>./EL/4166_17_1_01302020_20.tiff</t>
  </si>
  <si>
    <t>./IV/4166_17_1_01292020.csv</t>
  </si>
  <si>
    <t>./RefIV/4166_17_1_01292020.csv</t>
  </si>
  <si>
    <t>OE 889 days</t>
  </si>
  <si>
    <t>./EL/4166_17_1_02082021_80.tiff</t>
  </si>
  <si>
    <t>./EL/4166_17_1_02082021_20.tiff</t>
  </si>
  <si>
    <t>./IV/4166_17_1_02042021.csv</t>
  </si>
  <si>
    <t>./RefIV/4166_17_1_02042021.csv</t>
  </si>
  <si>
    <t>./EL/4163_17_1_01302020_80.tiff</t>
  </si>
  <si>
    <t>./EL/4163_17_1_01302020_20.tiff</t>
  </si>
  <si>
    <t>./IV/4163_17_1_01292020.csv</t>
  </si>
  <si>
    <t>./RefIV/4163_17_1_01292020.csv</t>
  </si>
  <si>
    <t>./EL/4163_17_1_02082021_80.tiff</t>
  </si>
  <si>
    <t>./EL/4163_17_1_02082021_20.tiff</t>
  </si>
  <si>
    <t>./IV/4163_17_1_02042021.csv</t>
  </si>
  <si>
    <t>./RefIV/4163_17_1_02042021.csv</t>
  </si>
  <si>
    <t>./EL/4170_17_1_01302020_80.tiff</t>
  </si>
  <si>
    <t>./EL/4170_17_1_01302020_20.tiff</t>
  </si>
  <si>
    <t>./IV/4170_17_1_01292020.csv</t>
  </si>
  <si>
    <t>./RefIV/4170_17_1_01292020.csv</t>
  </si>
  <si>
    <t>./EL/4170_17_1_02082021_80.tiff</t>
  </si>
  <si>
    <t>./EL/4170_17_1_02082021_20.tiff</t>
  </si>
  <si>
    <t>./IV/4170_17_1_02042021.csv</t>
  </si>
  <si>
    <t>./RefIV/4170_17_1_02042021.csv</t>
  </si>
  <si>
    <t>./EL/4171_17_1_01302020_80.tiff</t>
  </si>
  <si>
    <t>./EL/4171_17_1_01302020_20.tiff</t>
  </si>
  <si>
    <t>./IV/4171_17_1_01292020.csv</t>
  </si>
  <si>
    <t>./RefIV/4171_17_1_01292020.csv</t>
  </si>
  <si>
    <t>./EL/4171_17_1_02082021_80.tiff</t>
  </si>
  <si>
    <t>./EL/4171_17_1_02082021_20.tiff</t>
  </si>
  <si>
    <t>./IV/4171_17_1_02042021.csv</t>
  </si>
  <si>
    <t>./RefIV/4171_17_1_02042021.csv</t>
  </si>
  <si>
    <t>./EL/4168_17_1_01302020_80.tiff</t>
  </si>
  <si>
    <t>./EL/4168_17_1_01302020_20.tiff</t>
  </si>
  <si>
    <t>./IV/4168_17_1_01292020.csv</t>
  </si>
  <si>
    <t>./RefIV/4168_17_1_01292020.csv</t>
  </si>
  <si>
    <t>./EL/4168_17_1_02082021_80.tiff</t>
  </si>
  <si>
    <t>./EL/4168_17_1_02082021_20.tiff</t>
  </si>
  <si>
    <t>./IV/4168_17_1_02042021.csv</t>
  </si>
  <si>
    <t>./RefIV/4168_17_1_02042021.csv</t>
  </si>
  <si>
    <t>./EL/4169_17_1_01302020_80.tiff</t>
  </si>
  <si>
    <t>./EL/4169_17_1_01302020_20.tiff</t>
  </si>
  <si>
    <t>./IV/4169_17_1_01292020.csv</t>
  </si>
  <si>
    <t>./RefIV/4169_17_1_01292020.csv</t>
  </si>
  <si>
    <t>./EL/4169_17_1_02082021_80.tiff</t>
  </si>
  <si>
    <t>./EL/4169_17_1_02082021_20.tiff</t>
  </si>
  <si>
    <t>./IV/4169_17_1_02042021.csv</t>
  </si>
  <si>
    <t>./RefIV/4169_17_1_02042021.csv</t>
  </si>
  <si>
    <t>./EL/4164_17_1_01302020_80.tiff</t>
  </si>
  <si>
    <t>./EL/4164_17_1_01302020_20.tiff</t>
  </si>
  <si>
    <t>./IV/4164_17_1_01292020.csv</t>
  </si>
  <si>
    <t>./RefIV/4164_17_1_01292020.csv</t>
  </si>
  <si>
    <t>./EL/4167_17_1_01302020_80.tiff</t>
  </si>
  <si>
    <t>./EL/4167_17_1_01302020_20.tiff</t>
  </si>
  <si>
    <t>./IV/4167_17_1_01292020.csv</t>
  </si>
  <si>
    <t>./RefIV/4167_17_1_01292020.csv</t>
  </si>
  <si>
    <t>./EL/4167_17_1_02082021_80.tiff</t>
  </si>
  <si>
    <t>./EL/4167_17_1_02082021_20.tiff</t>
  </si>
  <si>
    <t>./IV/4167_17_1_02042021.csv</t>
  </si>
  <si>
    <t>./RefIV/4167_17_1_02042021.csv</t>
  </si>
  <si>
    <t>./EL/4172_17_1_01302020_80.tiff</t>
  </si>
  <si>
    <t>./EL/4172_17_1_01302020_20.tiff</t>
  </si>
  <si>
    <t>./IV/4172_17_1_01292020.csv</t>
  </si>
  <si>
    <t>./RefIV/4172_17_1_01292020.csv</t>
  </si>
  <si>
    <t>./EL/4172_17_1_02082021_80.tiff</t>
  </si>
  <si>
    <t>./EL/4172_17_1_02082021_20.tiff</t>
  </si>
  <si>
    <t>./IV/4172_17_1_02042021.csv</t>
  </si>
  <si>
    <t>./RefIV/4172_17_1_02042021.csv</t>
  </si>
  <si>
    <t>./EL/4165_17_1_01302020_80.tiff</t>
  </si>
  <si>
    <t>./EL/4165_17_1_01302020_20.tiff</t>
  </si>
  <si>
    <t>./IV/4165_17_1_01292020.csv</t>
  </si>
  <si>
    <t>./RefIV/4165_17_1_01292020.csv</t>
  </si>
  <si>
    <t>./EL/4165_17_1_02082021_80.tiff</t>
  </si>
  <si>
    <t>./EL/4165_17_1_02082021_20.tiff</t>
  </si>
  <si>
    <t>./IV/4165_17_1_02042021.csv</t>
  </si>
  <si>
    <t>./RefIV/4165_17_1_02042021.csv</t>
  </si>
  <si>
    <t>./EL/3855_17_1_01302020_80.tiff</t>
  </si>
  <si>
    <t>./EL/3855_17_1_01302020_20.tiff</t>
  </si>
  <si>
    <t>./IV/3855_17_1_01212020.csv</t>
  </si>
  <si>
    <t>./RefIV/3855_17_1_01212020.csv</t>
  </si>
  <si>
    <t>OE 554 days</t>
  </si>
  <si>
    <t>./EL/4058_17_1_01302020_80.tiff</t>
  </si>
  <si>
    <t>./EL/4058_17_1_01302020_20.tiff</t>
  </si>
  <si>
    <t>./IV/4058_17_1_01212020.csv</t>
  </si>
  <si>
    <t>./RefIV/4058_17_1_01212020.csv</t>
  </si>
  <si>
    <t>./EL/4063_17_1_01302020_80.tiff</t>
  </si>
  <si>
    <t>./EL/4063_17_1_01302020_20.tiff</t>
  </si>
  <si>
    <t>./IV/4063_17_1_01212020.csv</t>
  </si>
  <si>
    <t>./RefIV/4063_17_1_01212020.csv</t>
  </si>
  <si>
    <t>OE 1202 days</t>
  </si>
  <si>
    <t>./EL/10329_34_5_01202020_80.tiff</t>
  </si>
  <si>
    <t>./IV/10329_34_5_01152020.csv</t>
  </si>
  <si>
    <t>./RefIV/10329_34_5_01152020.csv</t>
  </si>
  <si>
    <t>9/30/2016</t>
  </si>
  <si>
    <t>./EL/10319_34_5_01202020_80.tiff</t>
  </si>
  <si>
    <t>./EL/10319_34_5_01202020_20.tiff</t>
  </si>
  <si>
    <t>./IV/10319_34_5_01152020.csv</t>
  </si>
  <si>
    <t>./RefIV/10319_34_5_01152020.csv</t>
  </si>
  <si>
    <t>./EL/2989_34_5_01202020_80.tiff</t>
  </si>
  <si>
    <t>./IV/2989_34_5_01152020.csv</t>
  </si>
  <si>
    <t>./RefIV/2989_34_5_01152020.csv</t>
  </si>
  <si>
    <t>./EL/10332_34_5_01202020_80.tiff</t>
  </si>
  <si>
    <t>./EL/10332_34_5_01202020_20.tiff</t>
  </si>
  <si>
    <t>./IV/10332_34_5_01152020.csv</t>
  </si>
  <si>
    <t>./RefIV/10332_34_5_01152020.csv</t>
  </si>
  <si>
    <t>./EL/10327_34_5_01202020_80.tiff</t>
  </si>
  <si>
    <t>./EL/10327_34_5_01202020_20.tiff</t>
  </si>
  <si>
    <t>./IV/10327_34_5_01152020.csv</t>
  </si>
  <si>
    <t>./RefIV/10327_34_5_01152020.csv</t>
  </si>
  <si>
    <t>./EL/10328_34_5_01202020_80.tiff</t>
  </si>
  <si>
    <t>./EL/10328_34_5_01202020_20.tiff</t>
  </si>
  <si>
    <t>./IV/10328_34_5_01152020.csv</t>
  </si>
  <si>
    <t>./RefIV/10328_34_5_01152020.csv</t>
  </si>
  <si>
    <t>./EL/10321_34_5_01202020_80.tiff</t>
  </si>
  <si>
    <t>./EL/10321_34_5_01202020_20.tiff</t>
  </si>
  <si>
    <t>./IV/10321_34_5_01152020.csv</t>
  </si>
  <si>
    <t>./RefIV/10321_34_5_01152020.csv</t>
  </si>
  <si>
    <t>./EL/10322_34_5_01202020_80.tiff</t>
  </si>
  <si>
    <t>./EL/10322_34_5_01202020_20.tiff</t>
  </si>
  <si>
    <t>./IV/10322_34_5_01152020.csv</t>
  </si>
  <si>
    <t>./RefIV/10322_34_5_01152020.csv</t>
  </si>
  <si>
    <t>./EL/10326_34_5_01202020_80.tiff</t>
  </si>
  <si>
    <t>./EL/10326_34_5_01202020_20.tiff</t>
  </si>
  <si>
    <t>./IV/10326_34_5_01152020.csv</t>
  </si>
  <si>
    <t>./RefIV/10326_34_5_01152020.csv</t>
  </si>
  <si>
    <t>./EL/10333_34_5_01202020_80.tiff</t>
  </si>
  <si>
    <t>./EL/10333_34_5_01202020_20.tiff</t>
  </si>
  <si>
    <t>./IV/10333_34_5_01152020.csv</t>
  </si>
  <si>
    <t>./RefIV/10333_34_5_01152020.csv</t>
  </si>
  <si>
    <t>OE 43 days</t>
  </si>
  <si>
    <t>./EL/4835_32_2_11032021_80.tiff</t>
  </si>
  <si>
    <t>./EL/4835_32_2_11032021_20.tiff</t>
  </si>
  <si>
    <t>./IV/4835_32_2_11022021.csv</t>
  </si>
  <si>
    <t>./RefIV/4835_32_2_11022021.csv</t>
  </si>
  <si>
    <t>9/20/2021</t>
  </si>
  <si>
    <t>./EL/4836_32_2_11022021_80.tiff</t>
  </si>
  <si>
    <t>./EL/4836_32_2_11022021_20.tiff</t>
  </si>
  <si>
    <t>./IV/4836_32_2_11022021.csv</t>
  </si>
  <si>
    <t>./RefIV/4836_32_2_11022021.csv</t>
  </si>
  <si>
    <t>./EL/4837_32_2_11032021_80.tiff</t>
  </si>
  <si>
    <t>./EL/4837_32_2_11032021_20.tiff</t>
  </si>
  <si>
    <t>./IV/4837_32_2_11022021.csv</t>
  </si>
  <si>
    <t>./RefIV/4837_32_2_11022021.csv</t>
  </si>
  <si>
    <t>./EL/4833_32_2_11032021_80.tiff</t>
  </si>
  <si>
    <t>./EL/4833_32_2_11032021_20.tiff</t>
  </si>
  <si>
    <t>./IV/4833_32_2_11022021.csv</t>
  </si>
  <si>
    <t>./RefIV/4833_32_2_11022021.csv</t>
  </si>
  <si>
    <t>./EL/4838_32_2_11022021_80.tiff</t>
  </si>
  <si>
    <t>./EL/4838_32_2_11022021_20.tiff</t>
  </si>
  <si>
    <t>./IV/4838_32_2_11022021.csv</t>
  </si>
  <si>
    <t>./RefIV/4838_32_2_11022021.csv</t>
  </si>
  <si>
    <t>./EL/4856_32_2_11022021_80.tiff</t>
  </si>
  <si>
    <t>./EL/4856_32_2_11022021_20.tiff</t>
  </si>
  <si>
    <t>./IV/4856_32_2_11022021.csv</t>
  </si>
  <si>
    <t>./RefIV/4856_32_2_11022021.csv</t>
  </si>
  <si>
    <t>./EL/4855_32_2_11022021_80.tiff</t>
  </si>
  <si>
    <t>./EL/4855_32_2_11022021_20.tiff</t>
  </si>
  <si>
    <t>./IV/4855_32_2_11022021.csv</t>
  </si>
  <si>
    <t>./RefIV/4855_32_2_11022021.csv</t>
  </si>
  <si>
    <t>./EL/4857_32_2_11022021_80.tiff</t>
  </si>
  <si>
    <t>./EL/4857_32_2_11022021_20.tiff</t>
  </si>
  <si>
    <t>./IV/4857_32_2_11022021.csv</t>
  </si>
  <si>
    <t>./RefIV/4857_32_2_11022021.csv</t>
  </si>
  <si>
    <t>./EL/4839_32_2_11032021_80.tiff</t>
  </si>
  <si>
    <t>./EL/4839_32_2_11032021_20.tiff</t>
  </si>
  <si>
    <t>./IV/4839_32_2_11022021.csv</t>
  </si>
  <si>
    <t>./RefIV/4839_32_2_11022021.csv</t>
  </si>
  <si>
    <t>./EL/4841_32_2_11032021_80.tiff</t>
  </si>
  <si>
    <t>./EL/4841_32_2_11032021_20.tiff</t>
  </si>
  <si>
    <t>./IV/4841_32_2_11022021.csv</t>
  </si>
  <si>
    <t>./RefIV/4841_32_2_11022021.csv</t>
  </si>
  <si>
    <t>./EL/4846_32_2_11032021_80.tiff</t>
  </si>
  <si>
    <t>./EL/4846_32_2_11032021_20.tiff</t>
  </si>
  <si>
    <t>./IV/4846_32_2_11022021.csv</t>
  </si>
  <si>
    <t>./RefIV/4846_32_2_11022021.csv</t>
  </si>
  <si>
    <t>./EL/4848_32_2_11032021_80.tiff</t>
  </si>
  <si>
    <t>./EL/4848_32_2_11032021_20.tiff</t>
  </si>
  <si>
    <t>./IV/4848_32_2_11022021.csv</t>
  </si>
  <si>
    <t>./RefIV/4848_32_2_11022021.csv</t>
  </si>
  <si>
    <t>./EL/4854_32_2_11022021_80.tiff</t>
  </si>
  <si>
    <t>./EL/4854_32_2_11022021_20.tiff</t>
  </si>
  <si>
    <t>./IV/4854_32_2_11022021.csv</t>
  </si>
  <si>
    <t>./RefIV/4854_32_2_11022021.csv</t>
  </si>
  <si>
    <t>./EL/4843_32_2_11032021_80.tiff</t>
  </si>
  <si>
    <t>./EL/4843_32_2_11032021_20.tiff</t>
  </si>
  <si>
    <t>./IV/4843_32_2_11022021.csv</t>
  </si>
  <si>
    <t>./RefIV/4843_32_2_11022021.csv</t>
  </si>
  <si>
    <t>./EL/4840_32_2_11022021_80.tiff</t>
  </si>
  <si>
    <t>./EL/4840_32_2_11022021_20.tiff</t>
  </si>
  <si>
    <t>./IV/4840_32_2_11022021.csv</t>
  </si>
  <si>
    <t>./RefIV/4840_32_2_11022021.csv</t>
  </si>
  <si>
    <t>./EL/4850_32_2_11022021_80.tiff</t>
  </si>
  <si>
    <t>./EL/4850_32_2_11022021_20.tiff</t>
  </si>
  <si>
    <t>./IV/4850_32_2_11022021.csv</t>
  </si>
  <si>
    <t>./RefIV/4850_32_2_11022021.csv</t>
  </si>
  <si>
    <t>./EL/4831_32_2_11022021_80.tiff</t>
  </si>
  <si>
    <t>./EL/4831_32_2_11022021_20.tiff</t>
  </si>
  <si>
    <t>./IV/4831_32_2_11022021.csv</t>
  </si>
  <si>
    <t>./RefIV/4831_32_2_11022021.csv</t>
  </si>
  <si>
    <t>./EL/4845_32_2_11022021_80.tiff</t>
  </si>
  <si>
    <t>./EL/4845_32_2_11022021_20.tiff</t>
  </si>
  <si>
    <t>./IV/4845_32_2_11022021.csv</t>
  </si>
  <si>
    <t>./RefIV/4845_32_2_11022021.csv</t>
  </si>
  <si>
    <t>./EL/4832_32_2_11032021_80.tiff</t>
  </si>
  <si>
    <t>./EL/4832_32_2_11032021_20.tiff</t>
  </si>
  <si>
    <t>./IV/4832_32_2_11022021.csv</t>
  </si>
  <si>
    <t>./RefIV/4832_32_2_11022021.csv</t>
  </si>
  <si>
    <t>./EL/4844_32_2_11022021_80.tiff</t>
  </si>
  <si>
    <t>./EL/4844_32_2_11022021_20.tiff</t>
  </si>
  <si>
    <t>./IV/4844_32_2_11022021.csv</t>
  </si>
  <si>
    <t>./RefIV/4844_32_2_11022021.csv</t>
  </si>
  <si>
    <t>./EL/4849_32_2_11032021_80.tiff</t>
  </si>
  <si>
    <t>./EL/4849_32_2_11032021_20.tiff</t>
  </si>
  <si>
    <t>./IV/4849_32_2_11022021.csv</t>
  </si>
  <si>
    <t>./RefIV/4849_32_2_11022021.csv</t>
  </si>
  <si>
    <t>./EL/4849_32_2_11022021_80.tiff</t>
  </si>
  <si>
    <t>./EL/4849_32_2_11022021_20.tiff</t>
  </si>
  <si>
    <t>./EL/4842_32_2_11022021_80.tiff</t>
  </si>
  <si>
    <t>./EL/4842_32_2_11022021_20.tiff</t>
  </si>
  <si>
    <t>./IV/4842_32_2_11022021.csv</t>
  </si>
  <si>
    <t>./RefIV/4842_32_2_11022021.csv</t>
  </si>
  <si>
    <t>./EL/4847_32_2_11032021_80.tiff</t>
  </si>
  <si>
    <t>./EL/4847_32_2_11032021_20.tiff</t>
  </si>
  <si>
    <t>./IV/4847_32_2_11022021.csv</t>
  </si>
  <si>
    <t>./RefIV/4847_32_2_11022021.csv</t>
  </si>
  <si>
    <t>./EL/4851_32_2_11022021_80.tiff</t>
  </si>
  <si>
    <t>./EL/4851_32_2_11022021_20.tiff</t>
  </si>
  <si>
    <t>./IV/4851_32_2_11022021.csv</t>
  </si>
  <si>
    <t>./RefIV/4851_32_2_11022021.csv</t>
  </si>
  <si>
    <t>10/26/2021</t>
  </si>
  <si>
    <t>./EL/4896_32_2_10262021_80.tiff</t>
  </si>
  <si>
    <t>./EL/4896_32_2_10262021_20.tiff</t>
  </si>
  <si>
    <t>./IV/4896_32_2_10262021.csv</t>
  </si>
  <si>
    <t>./RefIV/4896_32_2_10262021.csv</t>
  </si>
  <si>
    <t>./EL/4152_5_8_01292020_80.tiff</t>
  </si>
  <si>
    <t>./EL/4152_5_8_01292020_20.tiff</t>
  </si>
  <si>
    <t>./IV/4152_5_8_01292020.csv</t>
  </si>
  <si>
    <t>./RefIV/4152_5_8_01292020.csv</t>
  </si>
  <si>
    <t>./EL/4160_5_8_01292020_80.tiff</t>
  </si>
  <si>
    <t>./EL/4160_5_8_01292020_20.tiff</t>
  </si>
  <si>
    <t>./IV/4160_5_8_01292020.csv</t>
  </si>
  <si>
    <t>./RefIV/4160_5_8_01292020.csv</t>
  </si>
  <si>
    <t>./EL/4155_5_8_01292020_80.tiff</t>
  </si>
  <si>
    <t>./EL/4155_5_8_01292020_20.tiff</t>
  </si>
  <si>
    <t>./IV/4155_5_8_01292020.csv</t>
  </si>
  <si>
    <t>./RefIV/4155_5_8_01292020.csv</t>
  </si>
  <si>
    <t>./EL/4156_5_8_01292020_80.tiff</t>
  </si>
  <si>
    <t>./EL/4156_5_8_01292020_20.tiff</t>
  </si>
  <si>
    <t>./IV/4156_5_8_01292020.csv</t>
  </si>
  <si>
    <t>./RefIV/4156_5_8_01292020.csv</t>
  </si>
  <si>
    <t>./EL/4157_5_8_01292020_80.tiff</t>
  </si>
  <si>
    <t>./EL/4157_5_8_01292020_20.tiff</t>
  </si>
  <si>
    <t>./IV/4157_5_8_01292020.csv</t>
  </si>
  <si>
    <t>./RefIV/4157_5_8_01292020.csv</t>
  </si>
  <si>
    <t>./EL/4153_5_8_01292020_80.tiff</t>
  </si>
  <si>
    <t>./EL/4153_5_8_01292020_20.tiff</t>
  </si>
  <si>
    <t>./IV/4153_5_8_01292020.csv</t>
  </si>
  <si>
    <t>./RefIV/4153_5_8_01292020.csv</t>
  </si>
  <si>
    <t>./EL/4151_5_8_01292020_80.tiff</t>
  </si>
  <si>
    <t>./EL/4151_5_8_01292020_20.tiff</t>
  </si>
  <si>
    <t>./IV/4151_5_8_01292020.csv</t>
  </si>
  <si>
    <t>./RefIV/4151_5_8_01292020.csv</t>
  </si>
  <si>
    <t>./EL/4154_5_8_01292020_80.tiff</t>
  </si>
  <si>
    <t>./EL/4154_5_8_01292020_20.tiff</t>
  </si>
  <si>
    <t>./IV/4154_5_8_01292020.csv</t>
  </si>
  <si>
    <t>./RefIV/4154_5_8_01292020.csv</t>
  </si>
  <si>
    <t>./EL/4158_5_8_01292020_80.tiff</t>
  </si>
  <si>
    <t>./EL/4158_5_8_01292020_20.tiff</t>
  </si>
  <si>
    <t>./IV/4158_5_8_01292020.csv</t>
  </si>
  <si>
    <t>./RefIV/4158_5_8_01292020.csv</t>
  </si>
  <si>
    <t>./EL/4159_5_8_01292020_80.tiff</t>
  </si>
  <si>
    <t>./EL/4159_5_8_01292020_20.tiff</t>
  </si>
  <si>
    <t>./IV/4159_5_8_01292020.csv</t>
  </si>
  <si>
    <t>./RefIV/4159_5_8_01292020.csv</t>
  </si>
  <si>
    <t>OE 1281 days</t>
  </si>
  <si>
    <t>./EL/3713_5_5_02022021_80.tiff</t>
  </si>
  <si>
    <t>./EL/3713_5_5_02022021_20.tiff</t>
  </si>
  <si>
    <t>./IV/3713_5_5_02012021.csv</t>
  </si>
  <si>
    <t>./RefIV/3713_5_5_02012021.csv</t>
  </si>
  <si>
    <t>7/31/2017</t>
  </si>
  <si>
    <t>OE 899 days</t>
  </si>
  <si>
    <t>./EL/3713_5_5_01172020_80.tiff</t>
  </si>
  <si>
    <t>./EL/3713_5_5_01172020_20.tiff</t>
  </si>
  <si>
    <t>./IV/3713_5_5_01162020.csv</t>
  </si>
  <si>
    <t>./RefIV/3713_5_5_01162020.csv</t>
  </si>
  <si>
    <t>./EL/3706_5_5_02022021_80.tiff</t>
  </si>
  <si>
    <t>./EL/3706_5_5_02022021_20.tiff</t>
  </si>
  <si>
    <t>./IV/3706_5_5_02012021.csv</t>
  </si>
  <si>
    <t>./RefIV/3706_5_5_02012021.csv</t>
  </si>
  <si>
    <t>./EL/3689_5_5_02022021_80.tiff</t>
  </si>
  <si>
    <t>./EL/3689_5_5_02022021_20.tiff</t>
  </si>
  <si>
    <t>./IV/3689_5_5_02012021.csv</t>
  </si>
  <si>
    <t>./RefIV/3689_5_5_02012021.csv</t>
  </si>
  <si>
    <t>./EL/3689_5_5_01172020_80.tiff</t>
  </si>
  <si>
    <t>./EL/3689_5_5_01172020_20.tiff</t>
  </si>
  <si>
    <t>./IV/3689_5_5_01162020.csv</t>
  </si>
  <si>
    <t>./RefIV/3689_5_5_01162020.csv</t>
  </si>
  <si>
    <t>./EL/3709_5_5_02022021_80.tiff</t>
  </si>
  <si>
    <t>./EL/3709_5_5_02022021_20.tiff</t>
  </si>
  <si>
    <t>./IV/3709_5_5_02012021.csv</t>
  </si>
  <si>
    <t>./RefIV/3709_5_5_02012021.csv</t>
  </si>
  <si>
    <t>./EL/3709_5_5_01172020_80.tiff</t>
  </si>
  <si>
    <t>./EL/3709_5_5_01172020_20.tiff</t>
  </si>
  <si>
    <t>./IV/3709_5_5_01162020.csv</t>
  </si>
  <si>
    <t>./RefIV/3709_5_5_01162020.csv</t>
  </si>
  <si>
    <t>./EL/3685_5_5_02022021_80.tiff</t>
  </si>
  <si>
    <t>./EL/3685_5_5_02022021_20.tiff</t>
  </si>
  <si>
    <t>./IV/3685_5_5_02012021.csv</t>
  </si>
  <si>
    <t>./RefIV/3685_5_5_02012021.csv</t>
  </si>
  <si>
    <t>./EL/3685_5_5_01172020_80.tiff</t>
  </si>
  <si>
    <t>./EL/3685_5_5_01172020_20.tiff</t>
  </si>
  <si>
    <t>./IV/3685_5_5_01162020.csv</t>
  </si>
  <si>
    <t>./RefIV/3685_5_5_01162020.csv</t>
  </si>
  <si>
    <t>./EL/3675_5_5_02022021_80.tiff</t>
  </si>
  <si>
    <t>./EL/3675_5_5_02022021_20.tiff</t>
  </si>
  <si>
    <t>./IV/3675_5_5_02012021.csv</t>
  </si>
  <si>
    <t>./RefIV/3675_5_5_02012021.csv</t>
  </si>
  <si>
    <t>./EL/3675_5_5_01172020_80.tiff</t>
  </si>
  <si>
    <t>./EL/3675_5_5_01172020_20.tiff</t>
  </si>
  <si>
    <t>./IV/3675_5_5_01162020.csv</t>
  </si>
  <si>
    <t>./RefIV/3675_5_5_01162020.csv</t>
  </si>
  <si>
    <t>OE 1280 days</t>
  </si>
  <si>
    <t>./EL/3699_5_5_02022021_80.tiff</t>
  </si>
  <si>
    <t>./EL/3699_5_5_02022021_20.tiff</t>
  </si>
  <si>
    <t>./IV/3699_5_5_02012021.csv</t>
  </si>
  <si>
    <t>./RefIV/3699_5_5_02012021.csv</t>
  </si>
  <si>
    <t>./EL/3699_5_5_01172020_80.tiff</t>
  </si>
  <si>
    <t>./EL/3699_5_5_01172020_20.tiff</t>
  </si>
  <si>
    <t>./IV/3699_5_5_01162020.csv</t>
  </si>
  <si>
    <t>./RefIV/3699_5_5_01162020.csv</t>
  </si>
  <si>
    <t>./EL/3680_5_5_02022021_80.tiff</t>
  </si>
  <si>
    <t>./EL/3680_5_5_02022021_20.tiff</t>
  </si>
  <si>
    <t>./IV/3680_5_5_02012021.csv</t>
  </si>
  <si>
    <t>./RefIV/3680_5_5_02012021.csv</t>
  </si>
  <si>
    <t>./EL/3680_5_5_01172020_80.tiff</t>
  </si>
  <si>
    <t>./EL/3680_5_5_01172020_20.tiff</t>
  </si>
  <si>
    <t>./IV/3680_5_5_01162020.csv</t>
  </si>
  <si>
    <t>./RefIV/3680_5_5_01162020.csv</t>
  </si>
  <si>
    <t>./EL/3690_5_5_02022021_80.tiff</t>
  </si>
  <si>
    <t>./EL/3690_5_5_02022021_20.tiff</t>
  </si>
  <si>
    <t>./IV/3690_5_5_02012021.csv</t>
  </si>
  <si>
    <t>./RefIV/3690_5_5_02012021.csv</t>
  </si>
  <si>
    <t>./EL/3690_5_5_01172020_80.tiff</t>
  </si>
  <si>
    <t>./EL/3690_5_5_01172020_20.tiff</t>
  </si>
  <si>
    <t>./IV/3690_5_5_01162020.csv</t>
  </si>
  <si>
    <t>./RefIV/3690_5_5_01162020.csv</t>
  </si>
  <si>
    <t>./EL/3703_5_5_02022021_80.tiff</t>
  </si>
  <si>
    <t>./EL/3703_5_5_02022021_20.tiff</t>
  </si>
  <si>
    <t>./IV/3703_5_5_02012021.csv</t>
  </si>
  <si>
    <t>./RefIV/3703_5_5_02012021.csv</t>
  </si>
  <si>
    <t>./EL/3703_5_5_01172020_80.tiff</t>
  </si>
  <si>
    <t>./EL/3703_5_5_01172020_20.tiff</t>
  </si>
  <si>
    <t>./IV/3703_5_5_01162020.csv</t>
  </si>
  <si>
    <t>./RefIV/3703_5_5_01162020.csv</t>
  </si>
  <si>
    <t>./EL/3684_5_5_02022021_80.tiff</t>
  </si>
  <si>
    <t>./EL/3684_5_5_02022021_20.tiff</t>
  </si>
  <si>
    <t>./IV/3684_5_5_02012021.csv</t>
  </si>
  <si>
    <t>./RefIV/3684_5_5_02012021.csv</t>
  </si>
  <si>
    <t>./EL/3693_5_5_02022021_80.tiff</t>
  </si>
  <si>
    <t>./EL/3693_5_5_02022021_20.tiff</t>
  </si>
  <si>
    <t>./IV/3693_5_5_02012021.csv</t>
  </si>
  <si>
    <t>./RefIV/3693_5_5_02012021.csv</t>
  </si>
  <si>
    <t>./EL/3693_5_5_01172020_80.tiff</t>
  </si>
  <si>
    <t>./EL/3693_5_5_01172020_20.tiff</t>
  </si>
  <si>
    <t>./IV/3693_5_5_01162020.csv</t>
  </si>
  <si>
    <t>./RefIV/3693_5_5_01162020.csv</t>
  </si>
  <si>
    <t>./EL/3696_5_5_02022021_80.tiff</t>
  </si>
  <si>
    <t>./EL/3696_5_5_02022021_20.tiff</t>
  </si>
  <si>
    <t>./IV/3696_5_5_02012021.csv</t>
  </si>
  <si>
    <t>./RefIV/3696_5_5_02012021.csv</t>
  </si>
  <si>
    <t>./EL/3696_5_5_01172020_80.tiff</t>
  </si>
  <si>
    <t>./EL/3696_5_5_01172020_20.tiff</t>
  </si>
  <si>
    <t>./IV/3696_5_5_01162020.csv</t>
  </si>
  <si>
    <t>./RefIV/3696_5_5_01162020.csv</t>
  </si>
  <si>
    <t>./EL/3247_5_5_02022021_80.tiff</t>
  </si>
  <si>
    <t>./EL/3247_5_5_02022021_20.tiff</t>
  </si>
  <si>
    <t>./IV/3247_5_5_02012021.csv</t>
  </si>
  <si>
    <t>./RefIV/3247_5_5_02012021.csv</t>
  </si>
  <si>
    <t>./EL/3247_5_5_01172020_80.tiff</t>
  </si>
  <si>
    <t>./EL/3247_5_5_01172020_20.tiff</t>
  </si>
  <si>
    <t>./IV/3247_5_5_01162020.csv</t>
  </si>
  <si>
    <t>./RefIV/3247_5_5_01162020.csv</t>
  </si>
  <si>
    <t>./EL/3705_5_5_02022021_80.tiff</t>
  </si>
  <si>
    <t>./EL/3705_5_5_02022021_20.tiff</t>
  </si>
  <si>
    <t>./IV/3705_5_5_02012021.csv</t>
  </si>
  <si>
    <t>./RefIV/3705_5_5_02012021.csv</t>
  </si>
  <si>
    <t>OE 1274 days</t>
  </si>
  <si>
    <t>1/28/2021</t>
  </si>
  <si>
    <t>./EL/3765_5_6_01282021_80.tiff</t>
  </si>
  <si>
    <t>./EL/3765_5_6_01282021_20.tiff</t>
  </si>
  <si>
    <t>./IV/3765_5_6_01272021.csv</t>
  </si>
  <si>
    <t>./RefIV/3765_5_6_01272021.csv</t>
  </si>
  <si>
    <t>./EL/3765_5_6_01172020_80.tiff</t>
  </si>
  <si>
    <t>./EL/3765_5_6_01172020_20.tiff</t>
  </si>
  <si>
    <t>./IV/3765_5_6_01162020.csv</t>
  </si>
  <si>
    <t>./RefIV/3765_5_6_01162020.csv</t>
  </si>
  <si>
    <t>./EL/3646_5_6_01282021_80.tiff</t>
  </si>
  <si>
    <t>./EL/3646_5_6_01282021_20.tiff</t>
  </si>
  <si>
    <t>./IV/3646_5_6_01272021.csv</t>
  </si>
  <si>
    <t>./RefIV/3646_5_6_01272021.csv</t>
  </si>
  <si>
    <t>./EL/3646_5_6_01172020_80.tiff</t>
  </si>
  <si>
    <t>./EL/3646_5_6_01172020_20.tiff</t>
  </si>
  <si>
    <t>./IV/3646_5_6_01162020.csv</t>
  </si>
  <si>
    <t>./RefIV/3646_5_6_01162020.csv</t>
  </si>
  <si>
    <t>./EL/3657_5_6_01282021_80.tiff</t>
  </si>
  <si>
    <t>./EL/3657_5_6_01282021_20.tiff</t>
  </si>
  <si>
    <t>./IV/3657_5_6_01272021.csv</t>
  </si>
  <si>
    <t>./RefIV/3657_5_6_01272021.csv</t>
  </si>
  <si>
    <t>./EL/3657_5_6_01172020_80.tiff</t>
  </si>
  <si>
    <t>./EL/3657_5_6_01172020_20.tiff</t>
  </si>
  <si>
    <t>./IV/3657_5_6_01162020.csv</t>
  </si>
  <si>
    <t>./RefIV/3657_5_6_01162020.csv</t>
  </si>
  <si>
    <t>./EL/3257_5_6_01282021_80.tiff</t>
  </si>
  <si>
    <t>./EL/3257_5_6_01282021_20.tiff</t>
  </si>
  <si>
    <t>./IV/3257_5_6_01272021.csv</t>
  </si>
  <si>
    <t>./RefIV/3257_5_6_01272021.csv</t>
  </si>
  <si>
    <t>./EL/3255_5_6_01282021_80.tiff</t>
  </si>
  <si>
    <t>./EL/3255_5_6_01282021_20.tiff</t>
  </si>
  <si>
    <t>./IV/3255_5_6_01272021.csv</t>
  </si>
  <si>
    <t>./RefIV/3255_5_6_01272021.csv</t>
  </si>
  <si>
    <t>./EL/3255_5_6_01172020_80.tiff</t>
  </si>
  <si>
    <t>./EL/3255_5_6_01172020_20.tiff</t>
  </si>
  <si>
    <t>./IV/3255_5_6_01162020.csv</t>
  </si>
  <si>
    <t>./RefIV/3255_5_6_01162020.csv</t>
  </si>
  <si>
    <t>7/26/2017</t>
  </si>
  <si>
    <t>./EL/3255_5_6_07262017_80.tiff</t>
  </si>
  <si>
    <t>./EL/3255_5_6_07262017_20.tiff</t>
  </si>
  <si>
    <t>./IV/3255_5_6_07242017.csv</t>
  </si>
  <si>
    <t>./RefIV/3255_5_6_07242017.csv</t>
  </si>
  <si>
    <t>./EL/3256_5_6_01282021_80.tiff</t>
  </si>
  <si>
    <t>./EL/3256_5_6_01282021_20.tiff</t>
  </si>
  <si>
    <t>./IV/3256_5_6_01272021.csv</t>
  </si>
  <si>
    <t>./RefIV/3256_5_6_01272021.csv</t>
  </si>
  <si>
    <t>./EL/3256_5_6_01172020_80.tiff</t>
  </si>
  <si>
    <t>./EL/3256_5_6_01172020_20.tiff</t>
  </si>
  <si>
    <t>./IV/3256_5_6_01162020.csv</t>
  </si>
  <si>
    <t>./RefIV/3256_5_6_01162020.csv</t>
  </si>
  <si>
    <t>./EL/3256_5_6_07262017_80.tiff</t>
  </si>
  <si>
    <t>./EL/3256_5_6_07262017_20.tiff</t>
  </si>
  <si>
    <t>./IV/3256_5_6_07242017.csv</t>
  </si>
  <si>
    <t>./RefIV/3256_5_6_07242017.csv</t>
  </si>
  <si>
    <t>35..95</t>
  </si>
  <si>
    <t>./EL/3770_5_6_01282021_80.tiff</t>
  </si>
  <si>
    <t>./EL/3770_5_6_01282021_20.tiff</t>
  </si>
  <si>
    <t>./IV/3770_5_6_01272021.csv</t>
  </si>
  <si>
    <t>./RefIV/3770_5_6_01272021.csv</t>
  </si>
  <si>
    <t>./EL/3666_5_6_01282021_80.tiff</t>
  </si>
  <si>
    <t>./EL/3666_5_6_01282021_20.tiff</t>
  </si>
  <si>
    <t>./IV/3666_5_6_01272021.csv</t>
  </si>
  <si>
    <t>./RefIV/3666_5_6_01272021.csv</t>
  </si>
  <si>
    <t>./EL/3666_5_6_01172020_80.tiff</t>
  </si>
  <si>
    <t>./EL/3666_5_6_01172020_20.tiff</t>
  </si>
  <si>
    <t>./IV/3666_5_6_01162020.csv</t>
  </si>
  <si>
    <t>./RefIV/3666_5_6_01162020.csv</t>
  </si>
  <si>
    <t>./EL/3648_5_6_01282021_80.tiff</t>
  </si>
  <si>
    <t>./EL/3648_5_6_01282021_20.tiff</t>
  </si>
  <si>
    <t>./IV/3648_5_6_01272021.csv</t>
  </si>
  <si>
    <t>./RefIV/3648_5_6_01272021.csv</t>
  </si>
  <si>
    <t>./EL/3659_5_6_01282021_80.tiff</t>
  </si>
  <si>
    <t>./EL/3659_5_6_01282021_20.tiff</t>
  </si>
  <si>
    <t>./IV/3659_5_6_01272021.csv</t>
  </si>
  <si>
    <t>./RefIV/3659_5_6_01272021.csv</t>
  </si>
  <si>
    <t>./EL/3659_5_6_01172020_80.tiff</t>
  </si>
  <si>
    <t>./EL/3659_5_6_01172020_20.tiff</t>
  </si>
  <si>
    <t>./IV/3659_5_6_01162020.csv</t>
  </si>
  <si>
    <t>./RefIV/3659_5_6_01162020.csv</t>
  </si>
  <si>
    <t>./EL/3763_5_6_01282021_80.tiff</t>
  </si>
  <si>
    <t>./EL/3763_5_6_01282021_20.tiff</t>
  </si>
  <si>
    <t>./IV/3763_5_6_01272021.csv</t>
  </si>
  <si>
    <t>./RefIV/3763_5_6_01272021.csv</t>
  </si>
  <si>
    <t>./EL/3763_5_6_01172020_80.tiff</t>
  </si>
  <si>
    <t>./EL/3763_5_6_01172020_20.tiff</t>
  </si>
  <si>
    <t>./IV/3763_5_6_01162020.csv</t>
  </si>
  <si>
    <t>./RefIV/3763_5_6_01162020.csv</t>
  </si>
  <si>
    <t>./EL/3652_5_6_01282021_80.tiff</t>
  </si>
  <si>
    <t>./EL/3652_5_6_01282021_20.tiff</t>
  </si>
  <si>
    <t>./IV/3652_5_6_01272021.csv</t>
  </si>
  <si>
    <t>./RefIV/3652_5_6_01272021.csv</t>
  </si>
  <si>
    <t>./EL/3652_5_6_01172020_80.tiff</t>
  </si>
  <si>
    <t>./EL/3652_5_6_01172020_20.tiff</t>
  </si>
  <si>
    <t>./IV/3652_5_6_01162020.csv</t>
  </si>
  <si>
    <t>./RefIV/3652_5_6_01162020.csv</t>
  </si>
  <si>
    <t>./EL/3759_5_6_01282021_80.tiff</t>
  </si>
  <si>
    <t>./EL/3759_5_6_01282021_20.tiff</t>
  </si>
  <si>
    <t>./IV/3759_5_6_01272021.csv</t>
  </si>
  <si>
    <t>./RefIV/3759_5_6_01272021.csv</t>
  </si>
  <si>
    <t>./EL/3759_5_6_01172020_80.tiff</t>
  </si>
  <si>
    <t>./EL/3759_5_6_01172020_20.tiff</t>
  </si>
  <si>
    <t>./IV/3759_5_6_01162020.csv</t>
  </si>
  <si>
    <t>./RefIV/3759_5_6_01162020.csv</t>
  </si>
  <si>
    <t>./EL/3779_5_6_01282021_80.tiff</t>
  </si>
  <si>
    <t>./EL/3779_5_6_01282021_20.tiff</t>
  </si>
  <si>
    <t>./IV/3779_5_6_01272021.csv</t>
  </si>
  <si>
    <t>./RefIV/3779_5_6_01272021.csv</t>
  </si>
  <si>
    <t>./EL/3779_5_6_01172020_80.tiff</t>
  </si>
  <si>
    <t>./EL/3779_5_6_01172020_20.tiff</t>
  </si>
  <si>
    <t>./IV/3779_5_6_01162020.csv</t>
  </si>
  <si>
    <t>./RefIV/3779_5_6_01162020.csv</t>
  </si>
  <si>
    <t>./EL/3647_5_6_01282021_80.tiff</t>
  </si>
  <si>
    <t>./EL/3647_5_6_01282021_20.tiff</t>
  </si>
  <si>
    <t>./IV/3647_5_6_01272021.csv</t>
  </si>
  <si>
    <t>./RefIV/3647_5_6_01272021.csv</t>
  </si>
  <si>
    <t>./EL/3647_5_6_01172020_80.tiff</t>
  </si>
  <si>
    <t>./EL/3647_5_6_01172020_20.tiff</t>
  </si>
  <si>
    <t>./IV/3647_5_6_01162020.csv</t>
  </si>
  <si>
    <t>./RefIV/3647_5_6_01162020.csv</t>
  </si>
  <si>
    <t>./EL/3769_5_6_01282021_80.tiff</t>
  </si>
  <si>
    <t>./EL/3769_5_6_01282021_20.tiff</t>
  </si>
  <si>
    <t>./IV/3769_5_6_01272021.csv</t>
  </si>
  <si>
    <t>./RefIV/3769_5_6_01272021.csv</t>
  </si>
  <si>
    <t>./EL/3769_5_6_01172020_80.tiff</t>
  </si>
  <si>
    <t>./EL/3769_5_6_01172020_20.tiff</t>
  </si>
  <si>
    <t>./IV/3769_5_6_01162020.csv</t>
  </si>
  <si>
    <t>./RefIV/3769_5_6_01162020.csv</t>
  </si>
  <si>
    <t>./EL/3687_5_5_01172020_80.tiff</t>
  </si>
  <si>
    <t>./EL/3687_5_5_01172020_20.tiff</t>
  </si>
  <si>
    <t>./IV/3687_5_5_01162020.csv</t>
  </si>
  <si>
    <t>./RefIV/3687_5_5_01162020.csv</t>
  </si>
  <si>
    <t>./EL/3650_5_6_01172020_80.tiff</t>
  </si>
  <si>
    <t>./EL/3650_5_6_01172020_20.tiff</t>
  </si>
  <si>
    <t>./IV/3650_5_6_01162020.csv</t>
  </si>
  <si>
    <t>./RefIV/3650_5_6_01162020.csv</t>
  </si>
  <si>
    <t>./EL/3676_5_5_01172020_80.tiff</t>
  </si>
  <si>
    <t>./EL/3676_5_5_01172020_20.tiff</t>
  </si>
  <si>
    <t>./IV/3676_5_5_01162020.csv</t>
  </si>
  <si>
    <t>./RefIV/3676_5_5_01162020.csv</t>
  </si>
  <si>
    <t>./EL/3762_5_6_01172020_80.tiff</t>
  </si>
  <si>
    <t>./EL/3762_5_6_01172020_20.tiff</t>
  </si>
  <si>
    <t>./IV/3762_5_6_01162020.csv</t>
  </si>
  <si>
    <t>./RefIV/3762_5_6_01162020.csv</t>
  </si>
  <si>
    <t>3/27/2019</t>
  </si>
  <si>
    <t>3/20/2019</t>
  </si>
  <si>
    <t>./EL/2436_36_1_03202019_80.tiff</t>
  </si>
  <si>
    <t>./EL/2436_36_1_03202019_20.tiff</t>
  </si>
  <si>
    <t>./IV/2436_36_1_03272019.csv</t>
  </si>
  <si>
    <t>./RefIV/2436_36_1_03272019.csv</t>
  </si>
  <si>
    <t>./EL/2438_36_1_03202019_80.tiff</t>
  </si>
  <si>
    <t>./EL/2438_36_1_03202019_20.tiff</t>
  </si>
  <si>
    <t>./IV/2438_36_1_03272019.csv</t>
  </si>
  <si>
    <t>./RefIV/2438_36_1_03272019.csv</t>
  </si>
  <si>
    <t>./EL/2530_36_1_08062019_80.tiff</t>
  </si>
  <si>
    <t>./EL/2530_36_1_08062019_20.tiff</t>
  </si>
  <si>
    <t>./IV/2530_36_1_08052019.csv</t>
  </si>
  <si>
    <t>./RefIV/2530_36_1_08052019.csv</t>
  </si>
  <si>
    <t>./EL/2531_36_1_08062019_80.tiff</t>
  </si>
  <si>
    <t>./EL/2531_36_1_08062019_20.tiff</t>
  </si>
  <si>
    <t>./IV/2531_36_1_08052019.csv</t>
  </si>
  <si>
    <t>./RefIV/2531_36_1_08052019.csv</t>
  </si>
  <si>
    <t>./EL/2541_36_1_03202019_80.tiff</t>
  </si>
  <si>
    <t>./EL/2541_36_1_03202019_20.tiff</t>
  </si>
  <si>
    <t>./IV/2541_36_1_03272019.csv</t>
  </si>
  <si>
    <t>./RefIV/2541_36_1_03272019.csv</t>
  </si>
  <si>
    <t>./EL/2440_36_1_03202019_80.tiff</t>
  </si>
  <si>
    <t>./EL/2440_36_1_03202019_20.tiff</t>
  </si>
  <si>
    <t>./IV/2440_36_1_03272019.csv</t>
  </si>
  <si>
    <t>./RefIV/2440_36_1_03272019.csv</t>
  </si>
  <si>
    <t>./EL/2533_36_1_08062019_80.tiff</t>
  </si>
  <si>
    <t>./EL/2533_36_1_08062019_20.tiff</t>
  </si>
  <si>
    <t>./IV/2533_36_1_08052019.csv</t>
  </si>
  <si>
    <t>./RefIV/2533_36_1_08052019.csv</t>
  </si>
  <si>
    <t>./EL/2529_36_1_08062019_80.tiff</t>
  </si>
  <si>
    <t>./EL/2529_36_1_08062019_20.tiff</t>
  </si>
  <si>
    <t>./IV/2529_36_1_08052019.csv</t>
  </si>
  <si>
    <t>./RefIV/2529_36_1_08052019.csv</t>
  </si>
  <si>
    <t>./EL/2532_36_1_08062019_80.tiff</t>
  </si>
  <si>
    <t>./EL/2532_36_1_08062019_20.tiff</t>
  </si>
  <si>
    <t>./IV/2532_36_1_08052019.csv</t>
  </si>
  <si>
    <t>./RefIV/2532_36_1_08052019.csv</t>
  </si>
  <si>
    <t>OE 21 days</t>
  </si>
  <si>
    <t>8/17/2016</t>
  </si>
  <si>
    <t>./EL/3501_24_2_08172016_80.tiff</t>
  </si>
  <si>
    <t>./EL/3501_24_2_08172016_20.tiff</t>
  </si>
  <si>
    <t>./IV/3501_24_2_08172016.csv</t>
  </si>
  <si>
    <t>./RefIV/3501_24_2_08172016.csv</t>
  </si>
  <si>
    <t>3/18/2016</t>
  </si>
  <si>
    <t>./EL/3395_30_1_03182016_80.tiff</t>
  </si>
  <si>
    <t>./EL/3395_30_1_03182016_20.tiff</t>
  </si>
  <si>
    <t>./IV/3395_30_1_03182016.csv</t>
  </si>
  <si>
    <t>./RefIV/3395_30_1_03182016.csv</t>
  </si>
  <si>
    <t>./EL/3394_30_1_03182016_80.tiff</t>
  </si>
  <si>
    <t>./EL/3394_30_1_03182016_20.tiff</t>
  </si>
  <si>
    <t>./IV/3394_30_1_03182016.csv</t>
  </si>
  <si>
    <t>./RefIV/3394_30_1_03182016.csv</t>
  </si>
  <si>
    <t>./EL/3411_30_1_03182016_80.tiff</t>
  </si>
  <si>
    <t>./EL/3411_30_1_03182016_20.tiff</t>
  </si>
  <si>
    <t>./IV/3411_30_1_03182016.csv</t>
  </si>
  <si>
    <t>./RefIV/3411_30_1_03182016.csv</t>
  </si>
  <si>
    <t>./EL/3396_30_1_04042016_80.tiff</t>
  </si>
  <si>
    <t>./EL/3396_30_1_04042016_20.tiff</t>
  </si>
  <si>
    <t>./IV/3396_30_1_04042016.csv</t>
  </si>
  <si>
    <t>./RefIV/3396_30_1_04042016.csv</t>
  </si>
  <si>
    <t>12/15/2015</t>
  </si>
  <si>
    <t>12/16/2015</t>
  </si>
  <si>
    <t>./EL/3199_30_4_12162015_80.tiff</t>
  </si>
  <si>
    <t>./EL/3199_30_4_12162015_20.tiff</t>
  </si>
  <si>
    <t>./IV/3199_30_4_12152015.csv</t>
  </si>
  <si>
    <t>./RefIV/3199_30_4_12152015.csv</t>
  </si>
  <si>
    <t>./EL/3197_30_4_12162015_80.tiff</t>
  </si>
  <si>
    <t>./EL/3197_30_4_12162015_20.tiff</t>
  </si>
  <si>
    <t>./IV/3197_30_4_12152015.csv</t>
  </si>
  <si>
    <t>./RefIV/3197_30_4_12152015.csv</t>
  </si>
  <si>
    <t>./EL/3201_30_4_12162015_80.tiff</t>
  </si>
  <si>
    <t>./EL/3201_30_4_12162015_20.tiff</t>
  </si>
  <si>
    <t>./IV/3201_30_4_12152015.csv</t>
  </si>
  <si>
    <t>./RefIV/3201_30_4_12152015.csv</t>
  </si>
  <si>
    <t>12/21/2015</t>
  </si>
  <si>
    <t>12/22/2015</t>
  </si>
  <si>
    <t>./EL/3160_30_4_12222015_80.tiff</t>
  </si>
  <si>
    <t>./EL/3160_30_4_12222015_20.tiff</t>
  </si>
  <si>
    <t>./IV/3160_30_4_12212015.csv</t>
  </si>
  <si>
    <t>./RefIV/3160_30_4_12212015.csv</t>
  </si>
  <si>
    <t>./EL/3159_30_4_12222015_80.tiff</t>
  </si>
  <si>
    <t>./EL/3159_30_4_12222015_20.tiff</t>
  </si>
  <si>
    <t>./IV/3159_30_4_12212015.csv</t>
  </si>
  <si>
    <t>./RefIV/3159_30_4_12212015.csv</t>
  </si>
  <si>
    <t>./EL/3195_30_4_12162015_80.tiff</t>
  </si>
  <si>
    <t>./EL/3195_30_4_12162015_20.tiff</t>
  </si>
  <si>
    <t>./IV/3195_30_4_12152015.csv</t>
  </si>
  <si>
    <t>./RefIV/3195_30_4_12152015.csv</t>
  </si>
  <si>
    <t>./EL/3188_38_2_12162015_80.tiff</t>
  </si>
  <si>
    <t>./EL/3188_38_2_12162015_20.tiff</t>
  </si>
  <si>
    <t>./IV/3188_38_2_12152015.csv</t>
  </si>
  <si>
    <t>./RefIV/3188_38_2_12152015.csv</t>
  </si>
  <si>
    <t>./EL/3189_38_2_12162015_80.tiff</t>
  </si>
  <si>
    <t>./EL/3189_38_2_12162015_20.tiff</t>
  </si>
  <si>
    <t>./IV/3189_38_2_12152015.csv</t>
  </si>
  <si>
    <t>./RefIV/3189_38_2_12152015.csv</t>
  </si>
  <si>
    <t>./EL/3186_38_2_12162015_80.tiff</t>
  </si>
  <si>
    <t>./EL/3186_38_2_12162015_20.tiff</t>
  </si>
  <si>
    <t>./IV/3186_38_2_12152015.csv</t>
  </si>
  <si>
    <t>./RefIV/3186_38_2_12152015.csv</t>
  </si>
  <si>
    <t>./EL/3187_38_2_12162015_80.tiff</t>
  </si>
  <si>
    <t>./EL/3187_38_2_12162015_20.tiff</t>
  </si>
  <si>
    <t>./IV/3187_38_2_12152015.csv</t>
  </si>
  <si>
    <t>./RefIV/3187_38_2_12152015.csv</t>
  </si>
  <si>
    <t>./EL/3191_38_2_12162015_80.tiff</t>
  </si>
  <si>
    <t>./EL/3191_38_2_12162015_20.tiff</t>
  </si>
  <si>
    <t>./IV/3191_38_2_12152015.csv</t>
  </si>
  <si>
    <t>./RefIV/3191_38_2_12152015.csv</t>
  </si>
  <si>
    <t>./EL/3161_38_2_12222015_80.tiff</t>
  </si>
  <si>
    <t>./EL/3161_38_2_12222015_20.tiff</t>
  </si>
  <si>
    <t>./IV/3161_38_2_12212015.csv</t>
  </si>
  <si>
    <t>./RefIV/3161_38_2_12212015.csv</t>
  </si>
  <si>
    <t>./EL/3240_38_2_12222015_80.tiff</t>
  </si>
  <si>
    <t>./EL/3240_38_2_12222015_20.tiff</t>
  </si>
  <si>
    <t>./IV/3240_38_2_12212015.csv</t>
  </si>
  <si>
    <t>./RefIV/3240_38_2_12212015.csv</t>
  </si>
  <si>
    <t>./EL/3185_38_2_12162015_80.tiff</t>
  </si>
  <si>
    <t>./EL/3185_38_2_12162015_20.tiff</t>
  </si>
  <si>
    <t>./IV/3185_38_2_12152015.csv</t>
  </si>
  <si>
    <t>./RefIV/3185_38_2_12152015.csv</t>
  </si>
  <si>
    <t>./EL/3190_38_2_12162015_80.tiff</t>
  </si>
  <si>
    <t>./EL/3190_38_2_12162015_20.tiff</t>
  </si>
  <si>
    <t>./IV/3190_38_2_12152015.csv</t>
  </si>
  <si>
    <t>./RefIV/3190_38_2_12152015.csv</t>
  </si>
  <si>
    <t>3/15/2016</t>
  </si>
  <si>
    <t>./EL/3353_34_8_03152016_80.tiff</t>
  </si>
  <si>
    <t>./EL/3353_34_8_03152016_20.tiff</t>
  </si>
  <si>
    <t>./IV/3353_34_8_03152016.csv</t>
  </si>
  <si>
    <t>./RefIV/3353_34_8_03152016.csv</t>
  </si>
  <si>
    <t>3/14/2016</t>
  </si>
  <si>
    <t>./EL/3340_34_8_03142016_80.tiff</t>
  </si>
  <si>
    <t>./EL/3340_34_8_03142016_20.tiff</t>
  </si>
  <si>
    <t>./IV/3340_34_8_03142016.csv</t>
  </si>
  <si>
    <t>./RefIV/3340_34_8_03142016.csv</t>
  </si>
  <si>
    <t>./EL/3346_34_8_03142016_20.tiff</t>
  </si>
  <si>
    <t>./IV/3346_34_8_03152016.csv</t>
  </si>
  <si>
    <t>./RefIV/3346_34_8_03152016.csv</t>
  </si>
  <si>
    <t>./EL/3346_34_8_03152016_80.tiff</t>
  </si>
  <si>
    <t>./EL/3346_34_8_03152016_20.tiff</t>
  </si>
  <si>
    <t>3/17/2016</t>
  </si>
  <si>
    <t>./EL/3387_34_4_03172016_80.tiff</t>
  </si>
  <si>
    <t>./EL/3387_34_4_03172016_20.tiff</t>
  </si>
  <si>
    <t>./IV/3387_34_4_03172016.csv</t>
  </si>
  <si>
    <t>./RefIV/3387_34_4_03172016.csv</t>
  </si>
  <si>
    <t>./EL/3382_34_4_03172016_80.tiff</t>
  </si>
  <si>
    <t>./EL/3382_34_4_03172016_20.tiff</t>
  </si>
  <si>
    <t>./IV/3382_34_4_03172016.csv</t>
  </si>
  <si>
    <t>./RefIV/3382_34_4_03172016.csv</t>
  </si>
  <si>
    <t>./EL/3383_34_4_03172016_80.tiff</t>
  </si>
  <si>
    <t>./EL/3383_34_4_03172016_20.tiff</t>
  </si>
  <si>
    <t>./IV/3383_34_4_03172016.csv</t>
  </si>
  <si>
    <t>./RefIV/3383_34_4_03172016.csv</t>
  </si>
  <si>
    <t>./EL/3381_34_4_03172016_80.tiff</t>
  </si>
  <si>
    <t>./EL/3381_34_4_03172016_20.tiff</t>
  </si>
  <si>
    <t>./IV/3381_34_4_03172016.csv</t>
  </si>
  <si>
    <t>./RefIV/3381_34_4_03172016.csv</t>
  </si>
  <si>
    <t>./EL/3384_34_4_03172016_80.tiff</t>
  </si>
  <si>
    <t>./EL/3384_34_4_03172016_20.tiff</t>
  </si>
  <si>
    <t>./IV/3384_34_4_03172016.csv</t>
  </si>
  <si>
    <t>./RefIV/3384_34_4_03172016.csv</t>
  </si>
  <si>
    <t>./EL/3388_34_4_03172016_80.tiff</t>
  </si>
  <si>
    <t>./EL/3388_34_4_03172016_20.tiff</t>
  </si>
  <si>
    <t>./IV/3388_34_4_03172016.csv</t>
  </si>
  <si>
    <t>./RefIV/3388_34_4_03172016.csv</t>
  </si>
  <si>
    <t>./EL/3389_34_4_03172016_80.tiff</t>
  </si>
  <si>
    <t>./EL/3389_34_4_03172016_20.tiff</t>
  </si>
  <si>
    <t>./IV/3389_34_4_03172016.csv</t>
  </si>
  <si>
    <t>./RefIV/3389_34_4_03172016.csv</t>
  </si>
  <si>
    <t>./EL/3393_34_4_03172016_80.tiff</t>
  </si>
  <si>
    <t>./EL/3393_34_4_03172016_20.tiff</t>
  </si>
  <si>
    <t>./IV/3393_34_4_03172016.csv</t>
  </si>
  <si>
    <t>./RefIV/3393_34_4_03172016.csv</t>
  </si>
  <si>
    <t>./EL/3339_34_10_03142016_80.tiff</t>
  </si>
  <si>
    <t>./EL/3339_34_10_03142016_20.tiff</t>
  </si>
  <si>
    <t>./IV/3339_34_10_03142016.csv</t>
  </si>
  <si>
    <t>./RefIV/3339_34_10_03142016.csv</t>
  </si>
  <si>
    <t>./EL/3327_34_10_03142016_80.tiff</t>
  </si>
  <si>
    <t>./EL/3327_34_10_03142016_20.tiff</t>
  </si>
  <si>
    <t>./IV/3327_34_10_03142016.csv</t>
  </si>
  <si>
    <t>./RefIV/3327_34_10_03142016.csv</t>
  </si>
  <si>
    <t>./EL/3333_34_10_03142016_80.tiff</t>
  </si>
  <si>
    <t>./EL/3333_34_10_03142016_20.tiff</t>
  </si>
  <si>
    <t>./IV/3333_34_10_03142016.csv</t>
  </si>
  <si>
    <t>./RefIV/3333_34_10_03142016.csv</t>
  </si>
  <si>
    <t>3/16/2016</t>
  </si>
  <si>
    <t>./EL/3359_36_4_03162016_80.tiff</t>
  </si>
  <si>
    <t>./EL/3359_36_4_03162016_20.tiff</t>
  </si>
  <si>
    <t>./IV/3359_36_4_03162016.csv</t>
  </si>
  <si>
    <t>./RefIV/3359_36_4_03162016.csv</t>
  </si>
  <si>
    <t>./EL/3360_36_4_03162016_80.tiff</t>
  </si>
  <si>
    <t>./EL/3360_36_4_03162016_20.tiff</t>
  </si>
  <si>
    <t>./IV/3360_36_4_03162016.csv</t>
  </si>
  <si>
    <t>./RefIV/3360_36_4_03162016.csv</t>
  </si>
  <si>
    <t>./EL/3371_36_7_03182016_80.tiff</t>
  </si>
  <si>
    <t>./EL/3371_36_7_03182016_20.tiff</t>
  </si>
  <si>
    <t>./IV/3371_36_7_03162016.csv</t>
  </si>
  <si>
    <t>./RefIV/3371_36_7_03162016.csv</t>
  </si>
  <si>
    <t>./EL/3373_36_7_03162016_80.tiff</t>
  </si>
  <si>
    <t>./EL/3373_36_7_03162016_20.tiff</t>
  </si>
  <si>
    <t>./IV/3373_36_7_03162016.csv</t>
  </si>
  <si>
    <t>./RefIV/3373_36_7_03162016.csv</t>
  </si>
  <si>
    <t>./EL/3366_36_5_03162016_80.tiff</t>
  </si>
  <si>
    <t>./EL/3366_36_5_03162016_20.tiff</t>
  </si>
  <si>
    <t>./IV/3366_36_5_03162016.csv</t>
  </si>
  <si>
    <t>./RefIV/3366_36_5_03162016.csv</t>
  </si>
  <si>
    <t>./EL/3375_36_5_03162016_80.tiff</t>
  </si>
  <si>
    <t>./EL/3375_36_5_03162016_20.tiff</t>
  </si>
  <si>
    <t>./IV/3375_36_5_03162016.csv</t>
  </si>
  <si>
    <t>./RefIV/3375_36_5_03162016.csv</t>
  </si>
  <si>
    <t>./EL/3354_36_6_03152016_80.tiff</t>
  </si>
  <si>
    <t>./EL/3354_36_6_03152016_20.tiff</t>
  </si>
  <si>
    <t>./IV/3354_36_6_03152016.csv</t>
  </si>
  <si>
    <t>./RefIV/3354_36_6_03152016.csv</t>
  </si>
  <si>
    <t>./EL/3358_36_6_03152016_80.tiff</t>
  </si>
  <si>
    <t>./EL/3358_36_6_03152016_20.tiff</t>
  </si>
  <si>
    <t>./IV/3358_36_6_03152016.csv</t>
  </si>
  <si>
    <t>./RefIV/3358_36_6_03152016.csv</t>
  </si>
  <si>
    <t>Imp/Isc</t>
  </si>
  <si>
    <t>Nameplate Imp/Isc</t>
  </si>
  <si>
    <t>Nameplate Vmp/Voc</t>
  </si>
  <si>
    <t>Vmp/Voc</t>
  </si>
  <si>
    <t>Current difference real/name</t>
  </si>
  <si>
    <t>Voltage difference real/name</t>
  </si>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</sst>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4" fillId="0" borderId="0" xfId="0" applyFont="1"/>
    <xf numFmtId="0" fontId="0" fillId="33" borderId="0" xfId="0" applyFill="1"/>
    <xf numFmtId="0" fontId="14" fillId="33" borderId="0" xfId="0" applyFont="1" applyFill="1"/>
    <xf numFmtId="14" fontId="0" fillId="33" borderId="0" xfId="0" applyNumberFormat="1" applyFill="1"/>
    <xf numFmtId="2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2563-894D-4889-9BEA-0C6F26AB0742}">
  <sheetPr filterMode="1"/>
  <dimension ref="A1:BQ617"/>
  <sheetViews>
    <sheetView tabSelected="1" topLeftCell="Z1" workbookViewId="0">
      <pane ySplit="1" topLeftCell="A254" activePane="bottomLeft" state="frozen"/>
      <selection activeCell="W1" sqref="W1"/>
      <selection pane="bottomLeft" activeCell="AJ202" sqref="AJ202"/>
    </sheetView>
  </sheetViews>
  <sheetFormatPr defaultRowHeight="14.5" x14ac:dyDescent="0.35"/>
  <cols>
    <col min="13" max="13" width="20" customWidth="1"/>
    <col min="14" max="14" width="15.81640625" customWidth="1"/>
    <col min="15" max="15" width="19.26953125" customWidth="1"/>
    <col min="16" max="16" width="19.26953125" style="3" customWidth="1"/>
    <col min="17" max="17" width="20.26953125" customWidth="1"/>
    <col min="18" max="18" width="14.1796875" style="3" customWidth="1"/>
    <col min="19" max="19" width="29.08984375" customWidth="1"/>
    <col min="23" max="23" width="8.7265625" style="3"/>
    <col min="24" max="24" width="13.36328125" customWidth="1"/>
    <col min="25" max="25" width="21.81640625" style="3" customWidth="1"/>
    <col min="33" max="33" width="13.7265625" customWidth="1"/>
    <col min="45" max="45" width="18.1796875" customWidth="1"/>
    <col min="46" max="46" width="15.90625" customWidth="1"/>
    <col min="50" max="50" width="19.54296875" customWidth="1"/>
    <col min="51" max="51" width="17.08984375" customWidth="1"/>
    <col min="57" max="57" width="26.08984375" customWidth="1"/>
    <col min="67" max="67" width="13.6328125" customWidth="1"/>
    <col min="68" max="68" width="32.1796875" style="3" customWidth="1"/>
    <col min="69" max="69" width="27.1796875" style="3" customWidth="1"/>
  </cols>
  <sheetData>
    <row r="1" spans="1:6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3" t="s">
        <v>2648</v>
      </c>
      <c r="Q1" t="s">
        <v>14</v>
      </c>
      <c r="R1" s="3" t="s">
        <v>2649</v>
      </c>
      <c r="S1" t="s">
        <v>15</v>
      </c>
      <c r="T1" t="s">
        <v>16</v>
      </c>
      <c r="U1" t="s">
        <v>17</v>
      </c>
      <c r="V1" t="s">
        <v>18</v>
      </c>
      <c r="W1" s="3" t="s">
        <v>2647</v>
      </c>
      <c r="X1" t="s">
        <v>19</v>
      </c>
      <c r="Y1" s="3" t="s">
        <v>2650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s="3" t="s">
        <v>2651</v>
      </c>
      <c r="BQ1" s="3" t="s">
        <v>2652</v>
      </c>
    </row>
    <row r="2" spans="1:69" hidden="1" x14ac:dyDescent="0.35">
      <c r="A2">
        <v>0</v>
      </c>
      <c r="B2">
        <v>3903</v>
      </c>
      <c r="D2">
        <v>35</v>
      </c>
      <c r="E2">
        <v>1</v>
      </c>
      <c r="G2">
        <v>16222.6</v>
      </c>
      <c r="I2" t="s">
        <v>62</v>
      </c>
      <c r="L2" t="s">
        <v>63</v>
      </c>
      <c r="M2">
        <v>9.18</v>
      </c>
      <c r="N2">
        <v>38.4</v>
      </c>
      <c r="O2">
        <v>8.6999999999999993</v>
      </c>
      <c r="P2" s="3">
        <f>O2/M2</f>
        <v>0.94771241830065356</v>
      </c>
      <c r="Q2">
        <v>31</v>
      </c>
      <c r="R2" s="3">
        <f>Q2/N2</f>
        <v>0.80729166666666674</v>
      </c>
      <c r="S2">
        <v>270</v>
      </c>
      <c r="T2">
        <v>8.8759999999999994</v>
      </c>
      <c r="U2">
        <v>38.25</v>
      </c>
      <c r="V2">
        <v>8.359</v>
      </c>
      <c r="W2" s="3">
        <f>V2/T2</f>
        <v>0.94175304191077069</v>
      </c>
      <c r="X2">
        <v>30.78</v>
      </c>
      <c r="Y2" s="3">
        <f>X2/U2</f>
        <v>0.80470588235294116</v>
      </c>
      <c r="Z2">
        <v>257.3</v>
      </c>
      <c r="AA2">
        <v>75.8</v>
      </c>
      <c r="AB2">
        <v>25.2</v>
      </c>
      <c r="AC2" t="s">
        <v>64</v>
      </c>
      <c r="AE2" t="s">
        <v>65</v>
      </c>
      <c r="AF2" t="s">
        <v>66</v>
      </c>
      <c r="AG2" t="s">
        <v>67</v>
      </c>
      <c r="AH2" s="1">
        <v>0.41289351851851852</v>
      </c>
      <c r="AI2" t="s">
        <v>68</v>
      </c>
      <c r="AJ2" t="s">
        <v>69</v>
      </c>
      <c r="AO2">
        <v>7.0940000000000003</v>
      </c>
      <c r="AP2">
        <v>40.378</v>
      </c>
      <c r="AQ2">
        <v>25.6</v>
      </c>
      <c r="AR2">
        <v>1.78</v>
      </c>
      <c r="AS2">
        <v>35.950000000000003</v>
      </c>
      <c r="AT2">
        <v>153.6</v>
      </c>
      <c r="AY2">
        <v>2.36</v>
      </c>
      <c r="AZ2" t="s">
        <v>70</v>
      </c>
      <c r="BB2" t="s">
        <v>70</v>
      </c>
      <c r="BD2" t="s">
        <v>68</v>
      </c>
      <c r="BE2" t="s">
        <v>71</v>
      </c>
      <c r="BF2" t="s">
        <v>72</v>
      </c>
      <c r="BG2" t="s">
        <v>73</v>
      </c>
      <c r="BH2">
        <v>0</v>
      </c>
      <c r="BI2">
        <v>0</v>
      </c>
      <c r="BJ2">
        <v>1</v>
      </c>
      <c r="BK2" t="s">
        <v>74</v>
      </c>
      <c r="BL2">
        <v>8.8620000000000001</v>
      </c>
      <c r="BM2">
        <v>8.8620000000000001</v>
      </c>
      <c r="BN2" t="s">
        <v>75</v>
      </c>
      <c r="BO2" s="1">
        <v>0.44831018518518517</v>
      </c>
      <c r="BP2" s="3">
        <f>W2/P2</f>
        <v>0.99371183042998568</v>
      </c>
      <c r="BQ2" s="3">
        <f>Y2/R2</f>
        <v>0.99679696394686901</v>
      </c>
    </row>
    <row r="3" spans="1:69" hidden="1" x14ac:dyDescent="0.35">
      <c r="A3">
        <v>1</v>
      </c>
      <c r="B3">
        <v>3887</v>
      </c>
      <c r="D3">
        <v>35</v>
      </c>
      <c r="E3">
        <v>1</v>
      </c>
      <c r="G3">
        <v>16222.6</v>
      </c>
      <c r="I3" t="s">
        <v>62</v>
      </c>
      <c r="L3" t="s">
        <v>63</v>
      </c>
      <c r="M3">
        <v>9.18</v>
      </c>
      <c r="N3">
        <v>38.4</v>
      </c>
      <c r="O3">
        <v>8.6999999999999993</v>
      </c>
      <c r="P3" s="3">
        <f t="shared" ref="P3:P66" si="0">O3/M3</f>
        <v>0.94771241830065356</v>
      </c>
      <c r="Q3">
        <v>31</v>
      </c>
      <c r="R3" s="3">
        <f t="shared" ref="R3:R66" si="1">Q3/N3</f>
        <v>0.80729166666666674</v>
      </c>
      <c r="S3">
        <v>270</v>
      </c>
      <c r="T3">
        <v>8.8360000000000003</v>
      </c>
      <c r="U3">
        <v>38.200000000000003</v>
      </c>
      <c r="V3">
        <v>8.3309999999999995</v>
      </c>
      <c r="W3" s="3">
        <f t="shared" ref="W3:W66" si="2">V3/T3</f>
        <v>0.94284744228157524</v>
      </c>
      <c r="X3">
        <v>30.76</v>
      </c>
      <c r="Y3" s="3">
        <f t="shared" ref="Y3:Y66" si="3">X3/U3</f>
        <v>0.80523560209424083</v>
      </c>
      <c r="Z3">
        <v>256.2</v>
      </c>
      <c r="AA3">
        <v>75.900000000000006</v>
      </c>
      <c r="AB3">
        <v>25</v>
      </c>
      <c r="AC3" t="s">
        <v>64</v>
      </c>
      <c r="AE3" t="s">
        <v>65</v>
      </c>
      <c r="AF3" t="s">
        <v>66</v>
      </c>
      <c r="AG3" t="s">
        <v>67</v>
      </c>
      <c r="AH3" s="1">
        <v>0.42524305555555558</v>
      </c>
      <c r="AI3" t="s">
        <v>68</v>
      </c>
      <c r="AJ3" t="s">
        <v>69</v>
      </c>
      <c r="AO3">
        <v>7.0940000000000003</v>
      </c>
      <c r="AP3">
        <v>40.078000000000003</v>
      </c>
      <c r="AQ3">
        <v>25.6</v>
      </c>
      <c r="AR3">
        <v>1.7749999999999999</v>
      </c>
      <c r="AS3">
        <v>35.762</v>
      </c>
      <c r="AT3">
        <v>153.6</v>
      </c>
      <c r="AY3">
        <v>2.36</v>
      </c>
      <c r="AZ3" t="s">
        <v>70</v>
      </c>
      <c r="BB3" t="s">
        <v>70</v>
      </c>
      <c r="BD3" t="s">
        <v>68</v>
      </c>
      <c r="BE3" t="s">
        <v>76</v>
      </c>
      <c r="BF3" t="s">
        <v>77</v>
      </c>
      <c r="BG3" t="s">
        <v>78</v>
      </c>
      <c r="BH3">
        <v>0</v>
      </c>
      <c r="BI3">
        <v>0</v>
      </c>
      <c r="BJ3">
        <v>2</v>
      </c>
      <c r="BK3" t="s">
        <v>79</v>
      </c>
      <c r="BL3">
        <v>8.8620000000000001</v>
      </c>
      <c r="BM3">
        <v>8.8620000000000001</v>
      </c>
      <c r="BN3" t="s">
        <v>75</v>
      </c>
      <c r="BO3" s="1">
        <v>0.35089120370370369</v>
      </c>
      <c r="BP3" s="3">
        <f t="shared" ref="BP3:BP66" si="4">W3/P3</f>
        <v>0.99486661151090361</v>
      </c>
      <c r="BQ3" s="3">
        <f t="shared" ref="BQ3:BQ66" si="5">Y3/R3</f>
        <v>0.99745313291673698</v>
      </c>
    </row>
    <row r="4" spans="1:69" hidden="1" x14ac:dyDescent="0.35">
      <c r="A4">
        <v>2</v>
      </c>
      <c r="B4">
        <v>3887</v>
      </c>
      <c r="D4">
        <v>35</v>
      </c>
      <c r="E4">
        <v>1</v>
      </c>
      <c r="G4">
        <v>16222.6</v>
      </c>
      <c r="I4" t="s">
        <v>62</v>
      </c>
      <c r="L4" t="s">
        <v>80</v>
      </c>
      <c r="M4">
        <v>9.18</v>
      </c>
      <c r="N4">
        <v>38.4</v>
      </c>
      <c r="O4">
        <v>8.6999999999999993</v>
      </c>
      <c r="P4" s="3">
        <f t="shared" si="0"/>
        <v>0.94771241830065356</v>
      </c>
      <c r="Q4">
        <v>31</v>
      </c>
      <c r="R4" s="3">
        <f t="shared" si="1"/>
        <v>0.80729166666666674</v>
      </c>
      <c r="S4">
        <v>270</v>
      </c>
      <c r="T4">
        <v>8.8290000000000006</v>
      </c>
      <c r="U4">
        <v>38.19</v>
      </c>
      <c r="V4">
        <v>8.3079999999999998</v>
      </c>
      <c r="W4" s="3">
        <f t="shared" si="2"/>
        <v>0.94098991958319167</v>
      </c>
      <c r="X4">
        <v>30.58</v>
      </c>
      <c r="Y4" s="3">
        <f t="shared" si="3"/>
        <v>0.80073317622414242</v>
      </c>
      <c r="Z4">
        <v>254.1</v>
      </c>
      <c r="AA4">
        <v>75.3</v>
      </c>
      <c r="AB4">
        <v>25.4</v>
      </c>
      <c r="AC4" t="s">
        <v>64</v>
      </c>
      <c r="AE4" t="s">
        <v>65</v>
      </c>
      <c r="AF4" t="s">
        <v>66</v>
      </c>
      <c r="AG4" s="2">
        <v>44502</v>
      </c>
      <c r="AH4" s="1">
        <v>0.57469907407407406</v>
      </c>
      <c r="AI4" t="s">
        <v>68</v>
      </c>
      <c r="AJ4" t="s">
        <v>69</v>
      </c>
      <c r="AO4">
        <v>7.1</v>
      </c>
      <c r="AP4">
        <v>40.1</v>
      </c>
      <c r="AQ4">
        <v>25.6</v>
      </c>
      <c r="AR4">
        <v>1.8</v>
      </c>
      <c r="AS4">
        <v>35.9</v>
      </c>
      <c r="AT4">
        <v>153.6</v>
      </c>
      <c r="AY4">
        <v>2.36</v>
      </c>
      <c r="AZ4" t="s">
        <v>81</v>
      </c>
      <c r="BB4" t="s">
        <v>81</v>
      </c>
      <c r="BD4" t="s">
        <v>68</v>
      </c>
      <c r="BE4" t="s">
        <v>82</v>
      </c>
      <c r="BF4" t="s">
        <v>83</v>
      </c>
      <c r="BG4" t="s">
        <v>84</v>
      </c>
      <c r="BH4">
        <v>0</v>
      </c>
      <c r="BI4">
        <v>1</v>
      </c>
      <c r="BJ4">
        <v>2</v>
      </c>
      <c r="BK4" t="s">
        <v>85</v>
      </c>
      <c r="BL4">
        <v>8.8620000000000001</v>
      </c>
      <c r="BM4">
        <v>8.8620000000000001</v>
      </c>
      <c r="BN4" t="s">
        <v>75</v>
      </c>
      <c r="BO4" s="1">
        <v>0.35089120370370369</v>
      </c>
      <c r="BP4" s="3">
        <f t="shared" si="4"/>
        <v>0.99290660480157467</v>
      </c>
      <c r="BQ4" s="3">
        <f t="shared" si="5"/>
        <v>0.99187593441958277</v>
      </c>
    </row>
    <row r="5" spans="1:69" hidden="1" x14ac:dyDescent="0.35">
      <c r="A5">
        <v>3</v>
      </c>
      <c r="B5">
        <v>3899</v>
      </c>
      <c r="D5">
        <v>35</v>
      </c>
      <c r="E5">
        <v>1</v>
      </c>
      <c r="G5">
        <v>16222.6</v>
      </c>
      <c r="I5" t="s">
        <v>62</v>
      </c>
      <c r="L5" t="s">
        <v>63</v>
      </c>
      <c r="M5">
        <v>9.18</v>
      </c>
      <c r="N5">
        <v>38.4</v>
      </c>
      <c r="O5">
        <v>8.6999999999999993</v>
      </c>
      <c r="P5" s="3">
        <f t="shared" si="0"/>
        <v>0.94771241830065356</v>
      </c>
      <c r="Q5">
        <v>31</v>
      </c>
      <c r="R5" s="3">
        <f t="shared" si="1"/>
        <v>0.80729166666666674</v>
      </c>
      <c r="S5">
        <v>270</v>
      </c>
      <c r="T5">
        <v>8.8350000000000009</v>
      </c>
      <c r="U5">
        <v>38.22</v>
      </c>
      <c r="V5">
        <v>8.3710000000000004</v>
      </c>
      <c r="W5" s="3">
        <f t="shared" si="2"/>
        <v>0.94748160724391617</v>
      </c>
      <c r="X5">
        <v>30.78</v>
      </c>
      <c r="Y5" s="3">
        <f t="shared" si="3"/>
        <v>0.80533751962323397</v>
      </c>
      <c r="Z5">
        <v>257.60000000000002</v>
      </c>
      <c r="AA5">
        <v>76.3</v>
      </c>
      <c r="AB5">
        <v>25.3</v>
      </c>
      <c r="AC5" t="s">
        <v>64</v>
      </c>
      <c r="AE5" t="s">
        <v>65</v>
      </c>
      <c r="AF5" t="s">
        <v>66</v>
      </c>
      <c r="AG5" t="s">
        <v>67</v>
      </c>
      <c r="AH5" s="1">
        <v>0.41848379629629628</v>
      </c>
      <c r="AI5" t="s">
        <v>68</v>
      </c>
      <c r="AJ5" t="s">
        <v>69</v>
      </c>
      <c r="AO5">
        <v>7.0940000000000003</v>
      </c>
      <c r="AP5">
        <v>40.078000000000003</v>
      </c>
      <c r="AQ5">
        <v>25.6</v>
      </c>
      <c r="AR5">
        <v>1.7749999999999999</v>
      </c>
      <c r="AS5">
        <v>35.762</v>
      </c>
      <c r="AT5">
        <v>153.6</v>
      </c>
      <c r="AY5">
        <v>2.36</v>
      </c>
      <c r="AZ5" t="s">
        <v>70</v>
      </c>
      <c r="BB5" t="s">
        <v>70</v>
      </c>
      <c r="BD5" t="s">
        <v>68</v>
      </c>
      <c r="BE5" t="s">
        <v>86</v>
      </c>
      <c r="BF5" t="s">
        <v>87</v>
      </c>
      <c r="BG5" t="s">
        <v>88</v>
      </c>
      <c r="BH5">
        <v>0</v>
      </c>
      <c r="BI5">
        <v>0</v>
      </c>
      <c r="BJ5">
        <v>2</v>
      </c>
      <c r="BK5" t="s">
        <v>89</v>
      </c>
      <c r="BL5">
        <v>8.8620000000000001</v>
      </c>
      <c r="BM5">
        <v>8.8620000000000001</v>
      </c>
      <c r="BN5" t="s">
        <v>75</v>
      </c>
      <c r="BO5" s="1">
        <v>0.43247685185185186</v>
      </c>
      <c r="BP5" s="3">
        <f t="shared" si="4"/>
        <v>0.99975645454013229</v>
      </c>
      <c r="BQ5" s="3">
        <f t="shared" si="5"/>
        <v>0.99757937914619943</v>
      </c>
    </row>
    <row r="6" spans="1:69" hidden="1" x14ac:dyDescent="0.35">
      <c r="A6">
        <v>4</v>
      </c>
      <c r="B6">
        <v>3899</v>
      </c>
      <c r="D6">
        <v>35</v>
      </c>
      <c r="E6">
        <v>1</v>
      </c>
      <c r="G6">
        <v>16222.6</v>
      </c>
      <c r="I6" t="s">
        <v>62</v>
      </c>
      <c r="L6" t="s">
        <v>80</v>
      </c>
      <c r="M6">
        <v>9.18</v>
      </c>
      <c r="N6">
        <v>38.4</v>
      </c>
      <c r="O6">
        <v>8.6999999999999993</v>
      </c>
      <c r="P6" s="3">
        <f t="shared" si="0"/>
        <v>0.94771241830065356</v>
      </c>
      <c r="Q6">
        <v>31</v>
      </c>
      <c r="R6" s="3">
        <f t="shared" si="1"/>
        <v>0.80729166666666674</v>
      </c>
      <c r="S6">
        <v>270</v>
      </c>
      <c r="T6">
        <v>8.8179999999999996</v>
      </c>
      <c r="U6">
        <v>38.229999999999997</v>
      </c>
      <c r="V6">
        <v>8.3379999999999992</v>
      </c>
      <c r="W6" s="3">
        <f t="shared" si="2"/>
        <v>0.94556588795645269</v>
      </c>
      <c r="X6">
        <v>30.57</v>
      </c>
      <c r="Y6" s="3">
        <f t="shared" si="3"/>
        <v>0.79963379544860069</v>
      </c>
      <c r="Z6">
        <v>254.9</v>
      </c>
      <c r="AA6">
        <v>75.599999999999994</v>
      </c>
      <c r="AB6">
        <v>25.4</v>
      </c>
      <c r="AC6" t="s">
        <v>64</v>
      </c>
      <c r="AE6" t="s">
        <v>65</v>
      </c>
      <c r="AF6" t="s">
        <v>66</v>
      </c>
      <c r="AG6" s="2">
        <v>44502</v>
      </c>
      <c r="AH6" s="1">
        <v>0.5675</v>
      </c>
      <c r="AI6" t="s">
        <v>68</v>
      </c>
      <c r="AJ6" t="s">
        <v>69</v>
      </c>
      <c r="AO6">
        <v>7.1</v>
      </c>
      <c r="AP6">
        <v>40.200000000000003</v>
      </c>
      <c r="AQ6">
        <v>25.6</v>
      </c>
      <c r="AR6">
        <v>1.8</v>
      </c>
      <c r="AS6">
        <v>36</v>
      </c>
      <c r="AT6">
        <v>153.6</v>
      </c>
      <c r="AY6">
        <v>2.36</v>
      </c>
      <c r="AZ6" t="s">
        <v>81</v>
      </c>
      <c r="BB6" t="s">
        <v>81</v>
      </c>
      <c r="BD6" t="s">
        <v>68</v>
      </c>
      <c r="BE6" t="s">
        <v>90</v>
      </c>
      <c r="BF6" t="s">
        <v>91</v>
      </c>
      <c r="BG6" t="s">
        <v>92</v>
      </c>
      <c r="BH6">
        <v>0</v>
      </c>
      <c r="BI6">
        <v>1</v>
      </c>
      <c r="BJ6">
        <v>2</v>
      </c>
      <c r="BK6" t="s">
        <v>93</v>
      </c>
      <c r="BL6">
        <v>8.8620000000000001</v>
      </c>
      <c r="BM6">
        <v>8.8620000000000001</v>
      </c>
      <c r="BN6" t="s">
        <v>75</v>
      </c>
      <c r="BO6" s="1">
        <v>0.43247685185185186</v>
      </c>
      <c r="BP6" s="3">
        <f t="shared" si="4"/>
        <v>0.99773504039542937</v>
      </c>
      <c r="BQ6" s="3">
        <f t="shared" si="5"/>
        <v>0.99051412081375045</v>
      </c>
    </row>
    <row r="7" spans="1:69" hidden="1" x14ac:dyDescent="0.35">
      <c r="A7">
        <v>5</v>
      </c>
      <c r="B7">
        <v>3883</v>
      </c>
      <c r="D7">
        <v>35</v>
      </c>
      <c r="E7">
        <v>1</v>
      </c>
      <c r="G7">
        <v>16222.6</v>
      </c>
      <c r="I7" t="s">
        <v>62</v>
      </c>
      <c r="L7" t="s">
        <v>63</v>
      </c>
      <c r="M7">
        <v>9.18</v>
      </c>
      <c r="N7">
        <v>38.4</v>
      </c>
      <c r="O7">
        <v>8.6999999999999993</v>
      </c>
      <c r="P7" s="3">
        <f t="shared" si="0"/>
        <v>0.94771241830065356</v>
      </c>
      <c r="Q7">
        <v>31</v>
      </c>
      <c r="R7" s="3">
        <f t="shared" si="1"/>
        <v>0.80729166666666674</v>
      </c>
      <c r="S7">
        <v>270</v>
      </c>
      <c r="T7">
        <v>8.84</v>
      </c>
      <c r="U7">
        <v>38.200000000000003</v>
      </c>
      <c r="V7">
        <v>8.3439999999999994</v>
      </c>
      <c r="W7" s="3">
        <f t="shared" si="2"/>
        <v>0.9438914027149321</v>
      </c>
      <c r="X7">
        <v>30.7</v>
      </c>
      <c r="Y7" s="3">
        <f t="shared" si="3"/>
        <v>0.80366492146596846</v>
      </c>
      <c r="Z7">
        <v>256.2</v>
      </c>
      <c r="AA7">
        <v>75.900000000000006</v>
      </c>
      <c r="AB7">
        <v>25.1</v>
      </c>
      <c r="AC7" t="s">
        <v>64</v>
      </c>
      <c r="AE7" t="s">
        <v>65</v>
      </c>
      <c r="AF7" t="s">
        <v>66</v>
      </c>
      <c r="AG7" t="s">
        <v>67</v>
      </c>
      <c r="AH7" s="1">
        <v>0.41958333333333331</v>
      </c>
      <c r="AI7" t="s">
        <v>68</v>
      </c>
      <c r="AJ7" t="s">
        <v>69</v>
      </c>
      <c r="AO7">
        <v>7.0940000000000003</v>
      </c>
      <c r="AP7">
        <v>40.228000000000002</v>
      </c>
      <c r="AQ7">
        <v>25.6</v>
      </c>
      <c r="AR7">
        <v>1.78</v>
      </c>
      <c r="AS7">
        <v>35.874000000000002</v>
      </c>
      <c r="AT7">
        <v>153.6</v>
      </c>
      <c r="AY7">
        <v>2.36</v>
      </c>
      <c r="AZ7" t="s">
        <v>70</v>
      </c>
      <c r="BB7" t="s">
        <v>70</v>
      </c>
      <c r="BD7" t="s">
        <v>68</v>
      </c>
      <c r="BE7" t="s">
        <v>94</v>
      </c>
      <c r="BF7" t="s">
        <v>95</v>
      </c>
      <c r="BG7" t="s">
        <v>96</v>
      </c>
      <c r="BH7">
        <v>0</v>
      </c>
      <c r="BI7">
        <v>0</v>
      </c>
      <c r="BJ7">
        <v>1</v>
      </c>
      <c r="BK7" t="s">
        <v>97</v>
      </c>
      <c r="BL7">
        <v>8.8620000000000001</v>
      </c>
      <c r="BM7">
        <v>8.8620000000000001</v>
      </c>
      <c r="BN7" t="s">
        <v>75</v>
      </c>
      <c r="BO7" s="1">
        <v>0.33018518518518519</v>
      </c>
      <c r="BP7" s="3">
        <f t="shared" si="4"/>
        <v>0.99596816976127323</v>
      </c>
      <c r="BQ7" s="3">
        <f t="shared" si="5"/>
        <v>0.99550751562236084</v>
      </c>
    </row>
    <row r="8" spans="1:69" hidden="1" x14ac:dyDescent="0.35">
      <c r="A8">
        <v>6</v>
      </c>
      <c r="B8">
        <v>10085</v>
      </c>
      <c r="D8">
        <v>35</v>
      </c>
      <c r="E8">
        <v>1</v>
      </c>
      <c r="G8">
        <v>16222.6</v>
      </c>
      <c r="I8" t="s">
        <v>62</v>
      </c>
      <c r="L8" t="s">
        <v>63</v>
      </c>
      <c r="M8">
        <v>9.18</v>
      </c>
      <c r="N8">
        <v>38.4</v>
      </c>
      <c r="O8">
        <v>8.6999999999999993</v>
      </c>
      <c r="P8" s="3">
        <f t="shared" si="0"/>
        <v>0.94771241830065356</v>
      </c>
      <c r="Q8">
        <v>31</v>
      </c>
      <c r="R8" s="3">
        <f t="shared" si="1"/>
        <v>0.80729166666666674</v>
      </c>
      <c r="S8">
        <v>270</v>
      </c>
      <c r="T8">
        <v>8.8659999999999997</v>
      </c>
      <c r="U8">
        <v>37.93</v>
      </c>
      <c r="V8">
        <v>8.3989999999999991</v>
      </c>
      <c r="W8" s="3">
        <f t="shared" si="2"/>
        <v>0.94732686668170529</v>
      </c>
      <c r="X8">
        <v>30.47</v>
      </c>
      <c r="Y8" s="3">
        <f t="shared" si="3"/>
        <v>0.8033219087793303</v>
      </c>
      <c r="Z8">
        <v>255.9</v>
      </c>
      <c r="AA8">
        <v>76.099999999999994</v>
      </c>
      <c r="AB8">
        <v>25.2</v>
      </c>
      <c r="AC8" t="s">
        <v>64</v>
      </c>
      <c r="AE8" t="s">
        <v>65</v>
      </c>
      <c r="AF8" t="s">
        <v>66</v>
      </c>
      <c r="AG8" t="s">
        <v>67</v>
      </c>
      <c r="AH8" s="1">
        <v>0.40577546296296296</v>
      </c>
      <c r="AI8" t="s">
        <v>68</v>
      </c>
      <c r="AJ8" t="s">
        <v>69</v>
      </c>
      <c r="AO8">
        <v>7.0940000000000003</v>
      </c>
      <c r="AP8">
        <v>39.515000000000001</v>
      </c>
      <c r="AQ8">
        <v>25.6</v>
      </c>
      <c r="AR8">
        <v>1.78</v>
      </c>
      <c r="AS8">
        <v>35.274000000000001</v>
      </c>
      <c r="AT8">
        <v>153.6</v>
      </c>
      <c r="AY8">
        <v>2.36</v>
      </c>
      <c r="AZ8" t="s">
        <v>70</v>
      </c>
      <c r="BB8" t="s">
        <v>70</v>
      </c>
      <c r="BD8" t="s">
        <v>68</v>
      </c>
      <c r="BE8" t="s">
        <v>98</v>
      </c>
      <c r="BF8" t="s">
        <v>99</v>
      </c>
      <c r="BG8" t="s">
        <v>100</v>
      </c>
      <c r="BH8">
        <v>0</v>
      </c>
      <c r="BI8">
        <v>0</v>
      </c>
      <c r="BJ8">
        <v>2</v>
      </c>
      <c r="BK8" t="s">
        <v>101</v>
      </c>
      <c r="BL8">
        <v>8.8620000000000001</v>
      </c>
      <c r="BM8">
        <v>8.8620000000000001</v>
      </c>
      <c r="BN8" t="s">
        <v>75</v>
      </c>
      <c r="BO8" s="1">
        <v>0.3120486111111111</v>
      </c>
      <c r="BP8" s="3">
        <f t="shared" si="4"/>
        <v>0.9995931765675925</v>
      </c>
      <c r="BQ8" s="3">
        <f t="shared" si="5"/>
        <v>0.99508262248794455</v>
      </c>
    </row>
    <row r="9" spans="1:69" hidden="1" x14ac:dyDescent="0.35">
      <c r="A9">
        <v>7</v>
      </c>
      <c r="B9">
        <v>10085</v>
      </c>
      <c r="D9">
        <v>35</v>
      </c>
      <c r="E9">
        <v>1</v>
      </c>
      <c r="G9">
        <v>16222.6</v>
      </c>
      <c r="I9" t="s">
        <v>62</v>
      </c>
      <c r="L9" t="s">
        <v>80</v>
      </c>
      <c r="M9">
        <v>9.18</v>
      </c>
      <c r="N9">
        <v>38.4</v>
      </c>
      <c r="O9">
        <v>8.6999999999999993</v>
      </c>
      <c r="P9" s="3">
        <f t="shared" si="0"/>
        <v>0.94771241830065356</v>
      </c>
      <c r="Q9">
        <v>31</v>
      </c>
      <c r="R9" s="3">
        <f t="shared" si="1"/>
        <v>0.80729166666666674</v>
      </c>
      <c r="S9">
        <v>270</v>
      </c>
      <c r="T9">
        <v>8.8390000000000004</v>
      </c>
      <c r="U9">
        <v>37.979999999999997</v>
      </c>
      <c r="V9">
        <v>8.3800000000000008</v>
      </c>
      <c r="W9" s="3">
        <f t="shared" si="2"/>
        <v>0.9480710487611721</v>
      </c>
      <c r="X9">
        <v>30.44</v>
      </c>
      <c r="Y9" s="3">
        <f t="shared" si="3"/>
        <v>0.8014744602422329</v>
      </c>
      <c r="Z9">
        <v>255.1</v>
      </c>
      <c r="AA9">
        <v>76</v>
      </c>
      <c r="AB9">
        <v>25</v>
      </c>
      <c r="AC9" t="s">
        <v>64</v>
      </c>
      <c r="AE9" t="s">
        <v>65</v>
      </c>
      <c r="AF9" t="s">
        <v>66</v>
      </c>
      <c r="AG9" s="2">
        <v>44502</v>
      </c>
      <c r="AH9" s="1">
        <v>0.55608796296296292</v>
      </c>
      <c r="AI9" t="s">
        <v>68</v>
      </c>
      <c r="AJ9" t="s">
        <v>69</v>
      </c>
      <c r="AO9">
        <v>7.1</v>
      </c>
      <c r="AP9">
        <v>39.6</v>
      </c>
      <c r="AQ9">
        <v>25.6</v>
      </c>
      <c r="AR9">
        <v>1.8</v>
      </c>
      <c r="AS9">
        <v>35.5</v>
      </c>
      <c r="AT9">
        <v>153.6</v>
      </c>
      <c r="AY9">
        <v>2.36</v>
      </c>
      <c r="AZ9" t="s">
        <v>81</v>
      </c>
      <c r="BB9" t="s">
        <v>81</v>
      </c>
      <c r="BD9" t="s">
        <v>68</v>
      </c>
      <c r="BE9" t="s">
        <v>102</v>
      </c>
      <c r="BF9" t="s">
        <v>103</v>
      </c>
      <c r="BG9" t="s">
        <v>104</v>
      </c>
      <c r="BH9">
        <v>0</v>
      </c>
      <c r="BI9">
        <v>1</v>
      </c>
      <c r="BJ9">
        <v>2</v>
      </c>
      <c r="BK9" t="s">
        <v>105</v>
      </c>
      <c r="BL9">
        <v>8.8620000000000001</v>
      </c>
      <c r="BM9">
        <v>8.8620000000000001</v>
      </c>
      <c r="BN9" t="s">
        <v>75</v>
      </c>
      <c r="BO9" s="1">
        <v>0.3120486111111111</v>
      </c>
      <c r="BP9" s="3">
        <f t="shared" si="4"/>
        <v>1.0003784169686851</v>
      </c>
      <c r="BQ9" s="3">
        <f t="shared" si="5"/>
        <v>0.99279417010650772</v>
      </c>
    </row>
    <row r="10" spans="1:69" hidden="1" x14ac:dyDescent="0.35">
      <c r="A10">
        <v>8</v>
      </c>
      <c r="B10">
        <v>3895</v>
      </c>
      <c r="D10">
        <v>35</v>
      </c>
      <c r="E10">
        <v>1</v>
      </c>
      <c r="G10">
        <v>16222.6</v>
      </c>
      <c r="I10" t="s">
        <v>62</v>
      </c>
      <c r="L10" t="s">
        <v>63</v>
      </c>
      <c r="M10">
        <v>9.18</v>
      </c>
      <c r="N10">
        <v>38.4</v>
      </c>
      <c r="O10">
        <v>8.6999999999999993</v>
      </c>
      <c r="P10" s="3">
        <f t="shared" si="0"/>
        <v>0.94771241830065356</v>
      </c>
      <c r="Q10">
        <v>31</v>
      </c>
      <c r="R10" s="3">
        <f t="shared" si="1"/>
        <v>0.80729166666666674</v>
      </c>
      <c r="S10">
        <v>270</v>
      </c>
      <c r="T10">
        <v>8.8640000000000008</v>
      </c>
      <c r="U10">
        <v>38.19</v>
      </c>
      <c r="V10">
        <v>8.3580000000000005</v>
      </c>
      <c r="W10" s="3">
        <f t="shared" si="2"/>
        <v>0.94291516245487361</v>
      </c>
      <c r="X10">
        <v>30.64</v>
      </c>
      <c r="Y10" s="3">
        <f t="shared" si="3"/>
        <v>0.80230426813301914</v>
      </c>
      <c r="Z10">
        <v>256.10000000000002</v>
      </c>
      <c r="AA10">
        <v>75.7</v>
      </c>
      <c r="AB10">
        <v>25.3</v>
      </c>
      <c r="AC10" t="s">
        <v>64</v>
      </c>
      <c r="AE10" t="s">
        <v>65</v>
      </c>
      <c r="AF10" t="s">
        <v>66</v>
      </c>
      <c r="AG10" t="s">
        <v>67</v>
      </c>
      <c r="AH10" s="1">
        <v>0.41553240740740743</v>
      </c>
      <c r="AI10" t="s">
        <v>68</v>
      </c>
      <c r="AJ10" t="s">
        <v>69</v>
      </c>
      <c r="AO10">
        <v>7.0940000000000003</v>
      </c>
      <c r="AP10">
        <v>40.302999999999997</v>
      </c>
      <c r="AQ10">
        <v>25.6</v>
      </c>
      <c r="AR10">
        <v>1.7849999999999999</v>
      </c>
      <c r="AS10">
        <v>35.978000000000002</v>
      </c>
      <c r="AT10">
        <v>153.6</v>
      </c>
      <c r="AY10">
        <v>2.36</v>
      </c>
      <c r="AZ10" t="s">
        <v>70</v>
      </c>
      <c r="BB10" t="s">
        <v>70</v>
      </c>
      <c r="BD10" t="s">
        <v>68</v>
      </c>
      <c r="BE10" t="s">
        <v>106</v>
      </c>
      <c r="BF10" t="s">
        <v>107</v>
      </c>
      <c r="BG10" t="s">
        <v>108</v>
      </c>
      <c r="BH10">
        <v>0</v>
      </c>
      <c r="BI10">
        <v>0</v>
      </c>
      <c r="BJ10">
        <v>1</v>
      </c>
      <c r="BK10" t="s">
        <v>109</v>
      </c>
      <c r="BL10">
        <v>8.8620000000000001</v>
      </c>
      <c r="BM10">
        <v>8.8620000000000001</v>
      </c>
      <c r="BN10" t="s">
        <v>75</v>
      </c>
      <c r="BO10" s="1">
        <v>0.41042824074074075</v>
      </c>
      <c r="BP10" s="3">
        <f t="shared" si="4"/>
        <v>0.99493806796962525</v>
      </c>
      <c r="BQ10" s="3">
        <f t="shared" si="5"/>
        <v>0.99382206117122363</v>
      </c>
    </row>
    <row r="11" spans="1:69" hidden="1" x14ac:dyDescent="0.35">
      <c r="A11">
        <v>9</v>
      </c>
      <c r="B11">
        <v>3905</v>
      </c>
      <c r="D11">
        <v>35</v>
      </c>
      <c r="E11">
        <v>1</v>
      </c>
      <c r="G11">
        <v>16222.6</v>
      </c>
      <c r="I11" t="s">
        <v>62</v>
      </c>
      <c r="L11" t="s">
        <v>63</v>
      </c>
      <c r="M11">
        <v>9.18</v>
      </c>
      <c r="N11">
        <v>38.4</v>
      </c>
      <c r="O11">
        <v>8.6999999999999993</v>
      </c>
      <c r="P11" s="3">
        <f t="shared" si="0"/>
        <v>0.94771241830065356</v>
      </c>
      <c r="Q11">
        <v>31</v>
      </c>
      <c r="R11" s="3">
        <f t="shared" si="1"/>
        <v>0.80729166666666674</v>
      </c>
      <c r="S11">
        <v>270</v>
      </c>
      <c r="T11">
        <v>8.8819999999999997</v>
      </c>
      <c r="U11">
        <v>38.18</v>
      </c>
      <c r="V11">
        <v>8.42</v>
      </c>
      <c r="W11" s="3">
        <f t="shared" si="2"/>
        <v>0.94798468813330339</v>
      </c>
      <c r="X11">
        <v>30.71</v>
      </c>
      <c r="Y11" s="3">
        <f t="shared" si="3"/>
        <v>0.80434782608695654</v>
      </c>
      <c r="Z11">
        <v>258.60000000000002</v>
      </c>
      <c r="AA11">
        <v>76.2</v>
      </c>
      <c r="AB11">
        <v>25.3</v>
      </c>
      <c r="AC11" t="s">
        <v>64</v>
      </c>
      <c r="AE11" t="s">
        <v>65</v>
      </c>
      <c r="AF11" t="s">
        <v>66</v>
      </c>
      <c r="AG11" t="s">
        <v>67</v>
      </c>
      <c r="AH11" s="1">
        <v>0.40988425925925925</v>
      </c>
      <c r="AI11" t="s">
        <v>68</v>
      </c>
      <c r="AJ11" t="s">
        <v>69</v>
      </c>
      <c r="AO11">
        <v>7.0940000000000003</v>
      </c>
      <c r="AP11">
        <v>40.378</v>
      </c>
      <c r="AQ11">
        <v>25.6</v>
      </c>
      <c r="AR11">
        <v>1.78</v>
      </c>
      <c r="AS11">
        <v>36.061999999999998</v>
      </c>
      <c r="AT11">
        <v>1536</v>
      </c>
      <c r="AY11">
        <v>2.36</v>
      </c>
      <c r="AZ11" t="s">
        <v>70</v>
      </c>
      <c r="BB11" t="s">
        <v>70</v>
      </c>
      <c r="BD11" t="s">
        <v>68</v>
      </c>
      <c r="BE11" t="s">
        <v>110</v>
      </c>
      <c r="BF11" t="s">
        <v>111</v>
      </c>
      <c r="BG11" t="s">
        <v>112</v>
      </c>
      <c r="BH11">
        <v>0</v>
      </c>
      <c r="BI11">
        <v>0</v>
      </c>
      <c r="BJ11">
        <v>3</v>
      </c>
      <c r="BK11" t="s">
        <v>113</v>
      </c>
      <c r="BL11">
        <v>8.8620000000000001</v>
      </c>
      <c r="BM11">
        <v>8.8620000000000001</v>
      </c>
      <c r="BN11" t="s">
        <v>75</v>
      </c>
      <c r="BO11" s="1">
        <v>0.4566898148148148</v>
      </c>
      <c r="BP11" s="3">
        <f t="shared" si="4"/>
        <v>1.0002872916165202</v>
      </c>
      <c r="BQ11" s="3">
        <f t="shared" si="5"/>
        <v>0.99635343618513317</v>
      </c>
    </row>
    <row r="12" spans="1:69" hidden="1" x14ac:dyDescent="0.35">
      <c r="A12">
        <v>10</v>
      </c>
      <c r="B12">
        <v>3905</v>
      </c>
      <c r="D12">
        <v>35</v>
      </c>
      <c r="E12">
        <v>1</v>
      </c>
      <c r="G12">
        <v>16222.6</v>
      </c>
      <c r="I12" t="s">
        <v>62</v>
      </c>
      <c r="L12" t="s">
        <v>80</v>
      </c>
      <c r="M12">
        <v>9.18</v>
      </c>
      <c r="N12">
        <v>38.4</v>
      </c>
      <c r="O12">
        <v>8.6999999999999993</v>
      </c>
      <c r="P12" s="3">
        <f t="shared" si="0"/>
        <v>0.94771241830065356</v>
      </c>
      <c r="Q12">
        <v>31</v>
      </c>
      <c r="R12" s="3">
        <f t="shared" si="1"/>
        <v>0.80729166666666674</v>
      </c>
      <c r="S12">
        <v>270</v>
      </c>
      <c r="T12">
        <v>8.8510000000000009</v>
      </c>
      <c r="U12">
        <v>38.26</v>
      </c>
      <c r="V12">
        <v>8.3949999999999996</v>
      </c>
      <c r="W12" s="3">
        <f t="shared" si="2"/>
        <v>0.94848039769517556</v>
      </c>
      <c r="X12">
        <v>30.69</v>
      </c>
      <c r="Y12" s="3">
        <f t="shared" si="3"/>
        <v>0.80214323052796666</v>
      </c>
      <c r="Z12">
        <v>257.60000000000002</v>
      </c>
      <c r="AA12">
        <v>76.099999999999994</v>
      </c>
      <c r="AB12">
        <v>24.9</v>
      </c>
      <c r="AC12" t="s">
        <v>64</v>
      </c>
      <c r="AE12" t="s">
        <v>65</v>
      </c>
      <c r="AF12" t="s">
        <v>66</v>
      </c>
      <c r="AG12" s="2">
        <v>44502</v>
      </c>
      <c r="AH12" s="1">
        <v>0.55997685185185186</v>
      </c>
      <c r="AI12" t="s">
        <v>68</v>
      </c>
      <c r="AJ12" t="s">
        <v>69</v>
      </c>
      <c r="AO12">
        <v>7.1</v>
      </c>
      <c r="AP12">
        <v>40.1</v>
      </c>
      <c r="AQ12">
        <v>25.6</v>
      </c>
      <c r="AR12">
        <v>1.8</v>
      </c>
      <c r="AS12">
        <v>35.9</v>
      </c>
      <c r="AT12">
        <v>153.6</v>
      </c>
      <c r="AY12">
        <v>2.36</v>
      </c>
      <c r="AZ12" t="s">
        <v>81</v>
      </c>
      <c r="BB12" t="s">
        <v>81</v>
      </c>
      <c r="BD12" t="s">
        <v>68</v>
      </c>
      <c r="BE12" t="s">
        <v>114</v>
      </c>
      <c r="BF12" t="s">
        <v>115</v>
      </c>
      <c r="BG12" t="s">
        <v>116</v>
      </c>
      <c r="BH12">
        <v>0</v>
      </c>
      <c r="BI12">
        <v>1</v>
      </c>
      <c r="BJ12">
        <v>3</v>
      </c>
      <c r="BK12" t="s">
        <v>117</v>
      </c>
      <c r="BL12">
        <v>8.8620000000000001</v>
      </c>
      <c r="BM12">
        <v>8.8620000000000001</v>
      </c>
      <c r="BN12" t="s">
        <v>75</v>
      </c>
      <c r="BO12" s="1">
        <v>0.4566898148148148</v>
      </c>
      <c r="BP12" s="3">
        <f t="shared" si="4"/>
        <v>1.0008103506714612</v>
      </c>
      <c r="BQ12" s="3">
        <f t="shared" si="5"/>
        <v>0.99362258233141665</v>
      </c>
    </row>
    <row r="13" spans="1:69" hidden="1" x14ac:dyDescent="0.35">
      <c r="A13">
        <v>11</v>
      </c>
      <c r="B13">
        <v>3889</v>
      </c>
      <c r="D13">
        <v>35</v>
      </c>
      <c r="E13">
        <v>1</v>
      </c>
      <c r="G13">
        <v>16222.6</v>
      </c>
      <c r="I13" t="s">
        <v>62</v>
      </c>
      <c r="L13" t="s">
        <v>63</v>
      </c>
      <c r="M13">
        <v>9.18</v>
      </c>
      <c r="N13">
        <v>38.4</v>
      </c>
      <c r="O13">
        <v>8.6999999999999993</v>
      </c>
      <c r="P13" s="3">
        <f t="shared" si="0"/>
        <v>0.94771241830065356</v>
      </c>
      <c r="Q13">
        <v>31</v>
      </c>
      <c r="R13" s="3">
        <f t="shared" si="1"/>
        <v>0.80729166666666674</v>
      </c>
      <c r="S13">
        <v>270</v>
      </c>
      <c r="T13">
        <v>8.8460000000000001</v>
      </c>
      <c r="U13">
        <v>38.17</v>
      </c>
      <c r="V13">
        <v>8.3469999999999995</v>
      </c>
      <c r="W13" s="3">
        <f t="shared" si="2"/>
        <v>0.9435903233099705</v>
      </c>
      <c r="X13">
        <v>30.41</v>
      </c>
      <c r="Y13" s="3">
        <f t="shared" si="3"/>
        <v>0.79669897825517422</v>
      </c>
      <c r="Z13">
        <v>253.8</v>
      </c>
      <c r="AA13">
        <v>75.2</v>
      </c>
      <c r="AB13">
        <v>25.1</v>
      </c>
      <c r="AC13" t="s">
        <v>64</v>
      </c>
      <c r="AE13" t="s">
        <v>65</v>
      </c>
      <c r="AF13" t="s">
        <v>66</v>
      </c>
      <c r="AG13" t="s">
        <v>67</v>
      </c>
      <c r="AH13" s="1">
        <v>0.42810185185185184</v>
      </c>
      <c r="AI13" t="s">
        <v>68</v>
      </c>
      <c r="AJ13" t="s">
        <v>69</v>
      </c>
      <c r="AO13">
        <v>7.0940000000000003</v>
      </c>
      <c r="AP13">
        <v>40.152999999999999</v>
      </c>
      <c r="AQ13">
        <v>25.6</v>
      </c>
      <c r="AR13">
        <v>1.7749999999999999</v>
      </c>
      <c r="AS13">
        <v>35.612000000000002</v>
      </c>
      <c r="AT13">
        <v>153.9</v>
      </c>
      <c r="AY13">
        <v>2.36</v>
      </c>
      <c r="AZ13" t="s">
        <v>70</v>
      </c>
      <c r="BB13" t="s">
        <v>70</v>
      </c>
      <c r="BD13" t="s">
        <v>68</v>
      </c>
      <c r="BE13" t="s">
        <v>118</v>
      </c>
      <c r="BF13" t="s">
        <v>119</v>
      </c>
      <c r="BG13" t="s">
        <v>120</v>
      </c>
      <c r="BH13">
        <v>0</v>
      </c>
      <c r="BI13">
        <v>0</v>
      </c>
      <c r="BJ13">
        <v>1</v>
      </c>
      <c r="BK13" t="s">
        <v>121</v>
      </c>
      <c r="BL13">
        <v>8.8620000000000001</v>
      </c>
      <c r="BM13">
        <v>8.8620000000000001</v>
      </c>
      <c r="BN13" t="s">
        <v>75</v>
      </c>
      <c r="BO13" s="1">
        <v>0.36553240740740739</v>
      </c>
      <c r="BP13" s="3">
        <f t="shared" si="4"/>
        <v>0.99565047907879645</v>
      </c>
      <c r="BQ13" s="3">
        <f t="shared" si="5"/>
        <v>0.98687873435479634</v>
      </c>
    </row>
    <row r="14" spans="1:69" hidden="1" x14ac:dyDescent="0.35">
      <c r="A14">
        <v>12</v>
      </c>
      <c r="B14">
        <v>3886</v>
      </c>
      <c r="D14">
        <v>35</v>
      </c>
      <c r="E14">
        <v>1</v>
      </c>
      <c r="G14">
        <v>16222.6</v>
      </c>
      <c r="I14" t="s">
        <v>62</v>
      </c>
      <c r="L14" t="s">
        <v>63</v>
      </c>
      <c r="M14">
        <v>9.18</v>
      </c>
      <c r="N14">
        <v>38.4</v>
      </c>
      <c r="O14">
        <v>8.6999999999999993</v>
      </c>
      <c r="P14" s="3">
        <f t="shared" si="0"/>
        <v>0.94771241830065356</v>
      </c>
      <c r="Q14">
        <v>31</v>
      </c>
      <c r="R14" s="3">
        <f t="shared" si="1"/>
        <v>0.80729166666666674</v>
      </c>
      <c r="S14">
        <v>270</v>
      </c>
      <c r="T14">
        <v>8.8409999999999993</v>
      </c>
      <c r="U14">
        <v>38.19</v>
      </c>
      <c r="V14">
        <v>8.3480000000000008</v>
      </c>
      <c r="W14" s="3">
        <f t="shared" si="2"/>
        <v>0.94423707725370454</v>
      </c>
      <c r="X14">
        <v>30.73</v>
      </c>
      <c r="Y14" s="3">
        <f t="shared" si="3"/>
        <v>0.80466090599633422</v>
      </c>
      <c r="Z14">
        <v>256.5</v>
      </c>
      <c r="AA14">
        <v>76</v>
      </c>
      <c r="AB14">
        <v>25.1</v>
      </c>
      <c r="AC14" t="s">
        <v>64</v>
      </c>
      <c r="AE14" t="s">
        <v>65</v>
      </c>
      <c r="AF14" t="s">
        <v>66</v>
      </c>
      <c r="AG14" t="s">
        <v>67</v>
      </c>
      <c r="AH14" s="1">
        <v>0.42343750000000002</v>
      </c>
      <c r="AI14" t="s">
        <v>68</v>
      </c>
      <c r="AJ14" t="s">
        <v>69</v>
      </c>
      <c r="AO14">
        <v>7.0940000000000003</v>
      </c>
      <c r="AP14">
        <v>40.265999999999998</v>
      </c>
      <c r="AQ14">
        <v>25.6</v>
      </c>
      <c r="AR14">
        <v>1.78</v>
      </c>
      <c r="AS14">
        <v>35.950000000000003</v>
      </c>
      <c r="AT14">
        <v>153.6</v>
      </c>
      <c r="AY14">
        <v>2.36</v>
      </c>
      <c r="AZ14" t="s">
        <v>70</v>
      </c>
      <c r="BB14" t="s">
        <v>70</v>
      </c>
      <c r="BD14" t="s">
        <v>68</v>
      </c>
      <c r="BE14" t="s">
        <v>122</v>
      </c>
      <c r="BF14" t="s">
        <v>123</v>
      </c>
      <c r="BG14" t="s">
        <v>124</v>
      </c>
      <c r="BH14">
        <v>0</v>
      </c>
      <c r="BI14">
        <v>0</v>
      </c>
      <c r="BJ14">
        <v>2</v>
      </c>
      <c r="BK14" t="s">
        <v>125</v>
      </c>
      <c r="BL14">
        <v>8.8620000000000001</v>
      </c>
      <c r="BM14">
        <v>8.8620000000000001</v>
      </c>
      <c r="BN14" t="s">
        <v>75</v>
      </c>
      <c r="BO14" s="1">
        <v>0.34564814814814815</v>
      </c>
      <c r="BP14" s="3">
        <f t="shared" si="4"/>
        <v>0.99633291599873652</v>
      </c>
      <c r="BQ14" s="3">
        <f t="shared" si="5"/>
        <v>0.99674125129868485</v>
      </c>
    </row>
    <row r="15" spans="1:69" hidden="1" x14ac:dyDescent="0.35">
      <c r="A15">
        <v>13</v>
      </c>
      <c r="B15">
        <v>3886</v>
      </c>
      <c r="D15">
        <v>35</v>
      </c>
      <c r="E15">
        <v>1</v>
      </c>
      <c r="G15">
        <v>16222.6</v>
      </c>
      <c r="I15" t="s">
        <v>62</v>
      </c>
      <c r="L15" t="s">
        <v>80</v>
      </c>
      <c r="M15">
        <v>9.18</v>
      </c>
      <c r="N15">
        <v>38.4</v>
      </c>
      <c r="O15">
        <v>8.6999999999999993</v>
      </c>
      <c r="P15" s="3">
        <f t="shared" si="0"/>
        <v>0.94771241830065356</v>
      </c>
      <c r="Q15">
        <v>31</v>
      </c>
      <c r="R15" s="3">
        <f t="shared" si="1"/>
        <v>0.80729166666666674</v>
      </c>
      <c r="S15">
        <v>270</v>
      </c>
      <c r="T15">
        <v>8.8320000000000007</v>
      </c>
      <c r="U15">
        <v>38.25</v>
      </c>
      <c r="V15">
        <v>8.32</v>
      </c>
      <c r="W15" s="3">
        <f t="shared" si="2"/>
        <v>0.94202898550724634</v>
      </c>
      <c r="X15">
        <v>30.59</v>
      </c>
      <c r="Y15" s="3">
        <f t="shared" si="3"/>
        <v>0.79973856209150329</v>
      </c>
      <c r="Z15">
        <v>254.5</v>
      </c>
      <c r="AA15">
        <v>75.3</v>
      </c>
      <c r="AB15">
        <v>24.6</v>
      </c>
      <c r="AC15" t="s">
        <v>64</v>
      </c>
      <c r="AE15" t="s">
        <v>65</v>
      </c>
      <c r="AF15" t="s">
        <v>66</v>
      </c>
      <c r="AG15" s="2">
        <v>44502</v>
      </c>
      <c r="AH15" s="1">
        <v>0.58166666666666667</v>
      </c>
      <c r="AI15" t="s">
        <v>68</v>
      </c>
      <c r="AJ15" t="s">
        <v>69</v>
      </c>
      <c r="AO15">
        <v>7.1</v>
      </c>
      <c r="AP15">
        <v>40.200000000000003</v>
      </c>
      <c r="AQ15">
        <v>25.6</v>
      </c>
      <c r="AR15">
        <v>1.8</v>
      </c>
      <c r="AS15">
        <v>35.9</v>
      </c>
      <c r="AT15">
        <v>153.6</v>
      </c>
      <c r="AY15">
        <v>2.36</v>
      </c>
      <c r="AZ15" t="s">
        <v>81</v>
      </c>
      <c r="BB15" t="s">
        <v>81</v>
      </c>
      <c r="BD15" t="s">
        <v>68</v>
      </c>
      <c r="BE15" t="s">
        <v>126</v>
      </c>
      <c r="BF15" t="s">
        <v>127</v>
      </c>
      <c r="BG15" t="s">
        <v>128</v>
      </c>
      <c r="BH15">
        <v>0</v>
      </c>
      <c r="BI15">
        <v>1</v>
      </c>
      <c r="BJ15">
        <v>2</v>
      </c>
      <c r="BK15" t="s">
        <v>129</v>
      </c>
      <c r="BL15">
        <v>8.8620000000000001</v>
      </c>
      <c r="BM15">
        <v>8.8620000000000001</v>
      </c>
      <c r="BN15" t="s">
        <v>75</v>
      </c>
      <c r="BO15" s="1">
        <v>0.34564814814814815</v>
      </c>
      <c r="BP15" s="3">
        <f t="shared" si="4"/>
        <v>0.99400299850074958</v>
      </c>
      <c r="BQ15" s="3">
        <f t="shared" si="5"/>
        <v>0.99064389626818461</v>
      </c>
    </row>
    <row r="16" spans="1:69" hidden="1" x14ac:dyDescent="0.35">
      <c r="A16">
        <v>14</v>
      </c>
      <c r="B16">
        <v>3884</v>
      </c>
      <c r="D16">
        <v>35</v>
      </c>
      <c r="E16">
        <v>1</v>
      </c>
      <c r="G16">
        <v>16222.6</v>
      </c>
      <c r="I16" t="s">
        <v>62</v>
      </c>
      <c r="L16" t="s">
        <v>63</v>
      </c>
      <c r="M16">
        <v>9.18</v>
      </c>
      <c r="N16">
        <v>38.4</v>
      </c>
      <c r="O16">
        <v>8.6999999999999993</v>
      </c>
      <c r="P16" s="3">
        <f t="shared" si="0"/>
        <v>0.94771241830065356</v>
      </c>
      <c r="Q16">
        <v>31</v>
      </c>
      <c r="R16" s="3">
        <f t="shared" si="1"/>
        <v>0.80729166666666674</v>
      </c>
      <c r="S16">
        <v>270</v>
      </c>
      <c r="T16">
        <v>8.8469999999999995</v>
      </c>
      <c r="U16">
        <v>38.130000000000003</v>
      </c>
      <c r="V16">
        <v>8.3369999999999997</v>
      </c>
      <c r="W16" s="3">
        <f t="shared" si="2"/>
        <v>0.94235334011529337</v>
      </c>
      <c r="X16">
        <v>30.67</v>
      </c>
      <c r="Y16" s="3">
        <f t="shared" si="3"/>
        <v>0.80435352740624178</v>
      </c>
      <c r="Z16">
        <v>255.7</v>
      </c>
      <c r="AA16">
        <v>75.8</v>
      </c>
      <c r="AB16">
        <v>25.1</v>
      </c>
      <c r="AC16" t="s">
        <v>64</v>
      </c>
      <c r="AE16" t="s">
        <v>65</v>
      </c>
      <c r="AF16" t="s">
        <v>66</v>
      </c>
      <c r="AG16" t="s">
        <v>67</v>
      </c>
      <c r="AH16" s="1">
        <v>0.42251157407407408</v>
      </c>
      <c r="AI16" t="s">
        <v>68</v>
      </c>
      <c r="AJ16" t="s">
        <v>69</v>
      </c>
      <c r="AO16">
        <v>7.0940000000000003</v>
      </c>
      <c r="AP16">
        <v>40.191000000000003</v>
      </c>
      <c r="AQ16">
        <v>25.6</v>
      </c>
      <c r="AR16">
        <v>1.78</v>
      </c>
      <c r="AS16">
        <v>35.874000000000002</v>
      </c>
      <c r="AT16">
        <v>93.6</v>
      </c>
      <c r="AY16">
        <v>2.36</v>
      </c>
      <c r="AZ16" t="s">
        <v>70</v>
      </c>
      <c r="BB16" t="s">
        <v>70</v>
      </c>
      <c r="BD16" t="s">
        <v>68</v>
      </c>
      <c r="BE16" t="s">
        <v>130</v>
      </c>
      <c r="BF16" t="s">
        <v>131</v>
      </c>
      <c r="BG16" t="s">
        <v>132</v>
      </c>
      <c r="BH16">
        <v>0</v>
      </c>
      <c r="BI16">
        <v>0</v>
      </c>
      <c r="BJ16">
        <v>2</v>
      </c>
      <c r="BK16" t="s">
        <v>133</v>
      </c>
      <c r="BL16">
        <v>8.8620000000000001</v>
      </c>
      <c r="BM16">
        <v>8.8620000000000001</v>
      </c>
      <c r="BN16" t="s">
        <v>75</v>
      </c>
      <c r="BO16" s="1">
        <v>0.33502314814814815</v>
      </c>
      <c r="BP16" s="3">
        <f t="shared" si="4"/>
        <v>0.99434524853544748</v>
      </c>
      <c r="BQ16" s="3">
        <f t="shared" si="5"/>
        <v>0.99636049846450581</v>
      </c>
    </row>
    <row r="17" spans="1:69" hidden="1" x14ac:dyDescent="0.35">
      <c r="A17">
        <v>15</v>
      </c>
      <c r="B17">
        <v>3884</v>
      </c>
      <c r="D17">
        <v>35</v>
      </c>
      <c r="E17">
        <v>1</v>
      </c>
      <c r="G17">
        <v>16222.6</v>
      </c>
      <c r="I17" t="s">
        <v>62</v>
      </c>
      <c r="L17" t="s">
        <v>80</v>
      </c>
      <c r="M17">
        <v>9.18</v>
      </c>
      <c r="N17">
        <v>38.4</v>
      </c>
      <c r="O17">
        <v>8.6999999999999993</v>
      </c>
      <c r="P17" s="3">
        <f t="shared" si="0"/>
        <v>0.94771241830065356</v>
      </c>
      <c r="Q17">
        <v>31</v>
      </c>
      <c r="R17" s="3">
        <f t="shared" si="1"/>
        <v>0.80729166666666674</v>
      </c>
      <c r="S17">
        <v>270</v>
      </c>
      <c r="T17">
        <v>8.8409999999999993</v>
      </c>
      <c r="U17">
        <v>38.19</v>
      </c>
      <c r="V17">
        <v>8.3179999999999996</v>
      </c>
      <c r="W17" s="3">
        <f t="shared" si="2"/>
        <v>0.94084379595068435</v>
      </c>
      <c r="X17">
        <v>30.57</v>
      </c>
      <c r="Y17" s="3">
        <f t="shared" si="3"/>
        <v>0.80047132757266304</v>
      </c>
      <c r="Z17">
        <v>254.3</v>
      </c>
      <c r="AA17">
        <v>75.3</v>
      </c>
      <c r="AB17">
        <v>24.7</v>
      </c>
      <c r="AC17" t="s">
        <v>64</v>
      </c>
      <c r="AE17" t="s">
        <v>65</v>
      </c>
      <c r="AF17" t="s">
        <v>66</v>
      </c>
      <c r="AG17" s="2">
        <v>44502</v>
      </c>
      <c r="AH17" s="1">
        <v>0.57905092592592589</v>
      </c>
      <c r="AI17" t="s">
        <v>68</v>
      </c>
      <c r="AJ17" t="s">
        <v>69</v>
      </c>
      <c r="AO17">
        <v>7.1</v>
      </c>
      <c r="AP17">
        <v>40.1</v>
      </c>
      <c r="AQ17">
        <v>25.6</v>
      </c>
      <c r="AR17">
        <v>1.8</v>
      </c>
      <c r="AS17">
        <v>35.9</v>
      </c>
      <c r="AT17">
        <v>153.6</v>
      </c>
      <c r="AY17">
        <v>2.36</v>
      </c>
      <c r="AZ17" t="s">
        <v>81</v>
      </c>
      <c r="BB17" t="s">
        <v>81</v>
      </c>
      <c r="BD17" t="s">
        <v>68</v>
      </c>
      <c r="BE17" t="s">
        <v>134</v>
      </c>
      <c r="BF17" t="s">
        <v>135</v>
      </c>
      <c r="BG17" t="s">
        <v>136</v>
      </c>
      <c r="BH17">
        <v>0</v>
      </c>
      <c r="BI17">
        <v>1</v>
      </c>
      <c r="BJ17">
        <v>2</v>
      </c>
      <c r="BK17" t="s">
        <v>137</v>
      </c>
      <c r="BL17">
        <v>8.8620000000000001</v>
      </c>
      <c r="BM17">
        <v>8.8620000000000001</v>
      </c>
      <c r="BN17" t="s">
        <v>75</v>
      </c>
      <c r="BO17" s="1">
        <v>0.33502314814814815</v>
      </c>
      <c r="BP17" s="3">
        <f t="shared" si="4"/>
        <v>0.99275241917554968</v>
      </c>
      <c r="BQ17" s="3">
        <f t="shared" si="5"/>
        <v>0.99155157996097609</v>
      </c>
    </row>
    <row r="18" spans="1:69" hidden="1" x14ac:dyDescent="0.35">
      <c r="A18">
        <v>16</v>
      </c>
      <c r="B18">
        <v>10084</v>
      </c>
      <c r="D18">
        <v>35</v>
      </c>
      <c r="E18">
        <v>1</v>
      </c>
      <c r="G18">
        <v>16222.6</v>
      </c>
      <c r="I18" t="s">
        <v>62</v>
      </c>
      <c r="L18" t="s">
        <v>63</v>
      </c>
      <c r="M18">
        <v>9.18</v>
      </c>
      <c r="N18">
        <v>38.4</v>
      </c>
      <c r="O18">
        <v>8.6999999999999993</v>
      </c>
      <c r="P18" s="3">
        <f t="shared" si="0"/>
        <v>0.94771241830065356</v>
      </c>
      <c r="Q18">
        <v>31</v>
      </c>
      <c r="R18" s="3">
        <f t="shared" si="1"/>
        <v>0.80729166666666674</v>
      </c>
      <c r="S18">
        <v>270</v>
      </c>
      <c r="T18">
        <v>8.859</v>
      </c>
      <c r="U18">
        <v>37.9</v>
      </c>
      <c r="V18">
        <v>8.3819999999999997</v>
      </c>
      <c r="W18" s="3">
        <f t="shared" si="2"/>
        <v>0.94615645106671176</v>
      </c>
      <c r="X18">
        <v>30.58</v>
      </c>
      <c r="Y18" s="3">
        <f t="shared" si="3"/>
        <v>0.80686015831134561</v>
      </c>
      <c r="Z18">
        <v>256.3</v>
      </c>
      <c r="AA18">
        <v>76.3</v>
      </c>
      <c r="AB18">
        <v>25.3</v>
      </c>
      <c r="AC18" t="s">
        <v>64</v>
      </c>
      <c r="AE18" t="s">
        <v>65</v>
      </c>
      <c r="AF18" t="s">
        <v>66</v>
      </c>
      <c r="AG18" t="s">
        <v>67</v>
      </c>
      <c r="AH18" s="1">
        <v>0.40209490740740739</v>
      </c>
      <c r="AI18" t="s">
        <v>68</v>
      </c>
      <c r="AJ18" t="s">
        <v>69</v>
      </c>
      <c r="AO18">
        <v>7.0940000000000003</v>
      </c>
      <c r="AP18">
        <v>39.44</v>
      </c>
      <c r="AQ18">
        <v>25.6</v>
      </c>
      <c r="AR18">
        <v>1.78</v>
      </c>
      <c r="AS18">
        <v>35.274000000000001</v>
      </c>
      <c r="AT18">
        <v>1536</v>
      </c>
      <c r="AY18">
        <v>2.36</v>
      </c>
      <c r="AZ18" t="s">
        <v>70</v>
      </c>
      <c r="BB18" t="s">
        <v>70</v>
      </c>
      <c r="BD18" t="s">
        <v>68</v>
      </c>
      <c r="BE18" t="s">
        <v>138</v>
      </c>
      <c r="BF18" t="s">
        <v>139</v>
      </c>
      <c r="BG18" t="s">
        <v>140</v>
      </c>
      <c r="BH18">
        <v>0</v>
      </c>
      <c r="BI18">
        <v>0</v>
      </c>
      <c r="BJ18">
        <v>2</v>
      </c>
      <c r="BK18" t="s">
        <v>141</v>
      </c>
      <c r="BL18">
        <v>8.8620000000000001</v>
      </c>
      <c r="BM18">
        <v>8.8620000000000001</v>
      </c>
      <c r="BN18" t="s">
        <v>75</v>
      </c>
      <c r="BO18" s="1">
        <v>0.31739583333333332</v>
      </c>
      <c r="BP18" s="3">
        <f t="shared" si="4"/>
        <v>0.99835818629797868</v>
      </c>
      <c r="BQ18" s="3">
        <f t="shared" si="5"/>
        <v>0.99946548642437638</v>
      </c>
    </row>
    <row r="19" spans="1:69" hidden="1" x14ac:dyDescent="0.35">
      <c r="A19">
        <v>17</v>
      </c>
      <c r="B19">
        <v>10084</v>
      </c>
      <c r="D19">
        <v>35</v>
      </c>
      <c r="E19">
        <v>1</v>
      </c>
      <c r="G19">
        <v>16222.6</v>
      </c>
      <c r="I19" t="s">
        <v>62</v>
      </c>
      <c r="L19" t="s">
        <v>80</v>
      </c>
      <c r="M19">
        <v>9.18</v>
      </c>
      <c r="N19">
        <v>38.4</v>
      </c>
      <c r="O19">
        <v>8.6999999999999993</v>
      </c>
      <c r="P19" s="3">
        <f t="shared" si="0"/>
        <v>0.94771241830065356</v>
      </c>
      <c r="Q19">
        <v>31</v>
      </c>
      <c r="R19" s="3">
        <f t="shared" si="1"/>
        <v>0.80729166666666674</v>
      </c>
      <c r="S19">
        <v>270</v>
      </c>
      <c r="T19">
        <v>8.8439999999999994</v>
      </c>
      <c r="U19">
        <v>37.99</v>
      </c>
      <c r="V19">
        <v>8.3650000000000002</v>
      </c>
      <c r="W19" s="3">
        <f t="shared" si="2"/>
        <v>0.94583898688376311</v>
      </c>
      <c r="X19">
        <v>30.61</v>
      </c>
      <c r="Y19" s="3">
        <f t="shared" si="3"/>
        <v>0.80573835219794676</v>
      </c>
      <c r="Z19">
        <v>256</v>
      </c>
      <c r="AA19">
        <v>76.2</v>
      </c>
      <c r="AB19">
        <v>25.1</v>
      </c>
      <c r="AC19" t="s">
        <v>64</v>
      </c>
      <c r="AE19" t="s">
        <v>65</v>
      </c>
      <c r="AF19" t="s">
        <v>66</v>
      </c>
      <c r="AG19" s="2">
        <v>44502</v>
      </c>
      <c r="AH19" s="1">
        <v>0.55495370370370367</v>
      </c>
      <c r="AI19" t="s">
        <v>68</v>
      </c>
      <c r="AJ19" t="s">
        <v>69</v>
      </c>
      <c r="AO19">
        <v>7.1</v>
      </c>
      <c r="AP19">
        <v>39.5</v>
      </c>
      <c r="AQ19">
        <v>25.6</v>
      </c>
      <c r="AR19">
        <v>1.8</v>
      </c>
      <c r="AS19">
        <v>35.4</v>
      </c>
      <c r="AT19">
        <v>153.6</v>
      </c>
      <c r="AY19">
        <v>2.36</v>
      </c>
      <c r="AZ19" t="s">
        <v>81</v>
      </c>
      <c r="BB19" t="s">
        <v>81</v>
      </c>
      <c r="BD19" t="s">
        <v>68</v>
      </c>
      <c r="BE19" t="s">
        <v>142</v>
      </c>
      <c r="BF19" t="s">
        <v>143</v>
      </c>
      <c r="BG19" t="s">
        <v>144</v>
      </c>
      <c r="BH19">
        <v>0</v>
      </c>
      <c r="BI19">
        <v>1</v>
      </c>
      <c r="BJ19">
        <v>2</v>
      </c>
      <c r="BK19" t="s">
        <v>145</v>
      </c>
      <c r="BL19">
        <v>8.8620000000000001</v>
      </c>
      <c r="BM19">
        <v>8.8620000000000001</v>
      </c>
      <c r="BN19" t="s">
        <v>75</v>
      </c>
      <c r="BO19" s="1">
        <v>0.31739583333333332</v>
      </c>
      <c r="BP19" s="3">
        <f t="shared" si="4"/>
        <v>0.99802320684976387</v>
      </c>
      <c r="BQ19" s="3">
        <f t="shared" si="5"/>
        <v>0.99807589433552102</v>
      </c>
    </row>
    <row r="20" spans="1:69" hidden="1" x14ac:dyDescent="0.35">
      <c r="A20">
        <v>18</v>
      </c>
      <c r="B20">
        <v>3904</v>
      </c>
      <c r="D20">
        <v>35</v>
      </c>
      <c r="E20">
        <v>1</v>
      </c>
      <c r="G20">
        <v>16222.6</v>
      </c>
      <c r="I20" t="s">
        <v>62</v>
      </c>
      <c r="L20" t="s">
        <v>63</v>
      </c>
      <c r="M20">
        <v>9.18</v>
      </c>
      <c r="N20">
        <v>38.4</v>
      </c>
      <c r="O20">
        <v>8.6999999999999993</v>
      </c>
      <c r="P20" s="3">
        <f t="shared" si="0"/>
        <v>0.94771241830065356</v>
      </c>
      <c r="Q20">
        <v>31</v>
      </c>
      <c r="R20" s="3">
        <f t="shared" si="1"/>
        <v>0.80729166666666674</v>
      </c>
      <c r="S20">
        <v>270</v>
      </c>
      <c r="T20">
        <v>8.8610000000000007</v>
      </c>
      <c r="U20">
        <v>38.270000000000003</v>
      </c>
      <c r="V20">
        <v>8.3539999999999992</v>
      </c>
      <c r="W20" s="3">
        <f t="shared" si="2"/>
        <v>0.94278298160478491</v>
      </c>
      <c r="X20">
        <v>30.67</v>
      </c>
      <c r="Y20" s="3">
        <f t="shared" si="3"/>
        <v>0.80141102691403188</v>
      </c>
      <c r="Z20">
        <v>256.2</v>
      </c>
      <c r="AA20">
        <v>75.599999999999994</v>
      </c>
      <c r="AB20">
        <v>25.2</v>
      </c>
      <c r="AC20" t="s">
        <v>64</v>
      </c>
      <c r="AE20" t="s">
        <v>65</v>
      </c>
      <c r="AF20" t="s">
        <v>66</v>
      </c>
      <c r="AG20" t="s">
        <v>67</v>
      </c>
      <c r="AH20" s="1">
        <v>0.41136574074074073</v>
      </c>
      <c r="AI20" t="s">
        <v>68</v>
      </c>
      <c r="AJ20" t="s">
        <v>69</v>
      </c>
      <c r="AO20">
        <v>7.0940000000000003</v>
      </c>
      <c r="AP20">
        <v>40.415999999999997</v>
      </c>
      <c r="AQ20">
        <v>25.6</v>
      </c>
      <c r="AR20">
        <v>1.7749999999999999</v>
      </c>
      <c r="AS20">
        <v>36.061999999999998</v>
      </c>
      <c r="AT20">
        <v>153.6</v>
      </c>
      <c r="AY20">
        <v>2.36</v>
      </c>
      <c r="AZ20" t="s">
        <v>70</v>
      </c>
      <c r="BB20" t="s">
        <v>70</v>
      </c>
      <c r="BD20" t="s">
        <v>68</v>
      </c>
      <c r="BE20" t="s">
        <v>146</v>
      </c>
      <c r="BF20" t="s">
        <v>147</v>
      </c>
      <c r="BG20" t="s">
        <v>148</v>
      </c>
      <c r="BH20">
        <v>0</v>
      </c>
      <c r="BI20">
        <v>0</v>
      </c>
      <c r="BJ20">
        <v>1</v>
      </c>
      <c r="BK20" t="s">
        <v>149</v>
      </c>
      <c r="BL20">
        <v>8.8620000000000001</v>
      </c>
      <c r="BM20">
        <v>8.8620000000000001</v>
      </c>
      <c r="BN20" t="s">
        <v>75</v>
      </c>
      <c r="BO20" s="1">
        <v>0.45252314814814815</v>
      </c>
      <c r="BP20" s="3">
        <f t="shared" si="4"/>
        <v>0.99479859438298002</v>
      </c>
      <c r="BQ20" s="3">
        <f t="shared" si="5"/>
        <v>0.99271559462899428</v>
      </c>
    </row>
    <row r="21" spans="1:69" hidden="1" x14ac:dyDescent="0.35">
      <c r="A21">
        <v>19</v>
      </c>
      <c r="B21">
        <v>3891</v>
      </c>
      <c r="D21">
        <v>35</v>
      </c>
      <c r="E21">
        <v>1</v>
      </c>
      <c r="G21">
        <v>16222.6</v>
      </c>
      <c r="I21" t="s">
        <v>62</v>
      </c>
      <c r="L21" t="s">
        <v>63</v>
      </c>
      <c r="M21">
        <v>9.18</v>
      </c>
      <c r="N21">
        <v>38.4</v>
      </c>
      <c r="O21">
        <v>8.6999999999999993</v>
      </c>
      <c r="P21" s="3">
        <f t="shared" si="0"/>
        <v>0.94771241830065356</v>
      </c>
      <c r="Q21">
        <v>31</v>
      </c>
      <c r="R21" s="3">
        <f t="shared" si="1"/>
        <v>0.80729166666666674</v>
      </c>
      <c r="S21">
        <v>270</v>
      </c>
      <c r="T21">
        <v>8.8390000000000004</v>
      </c>
      <c r="U21">
        <v>38.21</v>
      </c>
      <c r="V21">
        <v>8.3469999999999995</v>
      </c>
      <c r="W21" s="3">
        <f t="shared" si="2"/>
        <v>0.94433759475053725</v>
      </c>
      <c r="X21">
        <v>30.71</v>
      </c>
      <c r="Y21" s="3">
        <f t="shared" si="3"/>
        <v>0.80371630463229526</v>
      </c>
      <c r="Z21">
        <v>256.39999999999998</v>
      </c>
      <c r="AA21">
        <v>75.900000000000006</v>
      </c>
      <c r="AB21">
        <v>25.1</v>
      </c>
      <c r="AC21" t="s">
        <v>64</v>
      </c>
      <c r="AE21" t="s">
        <v>65</v>
      </c>
      <c r="AF21" t="s">
        <v>66</v>
      </c>
      <c r="AG21" t="s">
        <v>67</v>
      </c>
      <c r="AH21" s="1">
        <v>0.42618055555555556</v>
      </c>
      <c r="AI21" t="s">
        <v>68</v>
      </c>
      <c r="AJ21" t="s">
        <v>69</v>
      </c>
      <c r="AO21">
        <v>7.0940000000000003</v>
      </c>
      <c r="AP21">
        <v>40.152999999999999</v>
      </c>
      <c r="AQ21">
        <v>25.6</v>
      </c>
      <c r="AR21">
        <v>1.7849999999999999</v>
      </c>
      <c r="AS21">
        <v>35.973999999999997</v>
      </c>
      <c r="AT21">
        <v>153.6</v>
      </c>
      <c r="AY21">
        <v>2.36</v>
      </c>
      <c r="AZ21" t="s">
        <v>70</v>
      </c>
      <c r="BB21" t="s">
        <v>70</v>
      </c>
      <c r="BD21" t="s">
        <v>68</v>
      </c>
      <c r="BE21" t="s">
        <v>150</v>
      </c>
      <c r="BF21" t="s">
        <v>151</v>
      </c>
      <c r="BG21" t="s">
        <v>152</v>
      </c>
      <c r="BH21">
        <v>0</v>
      </c>
      <c r="BI21">
        <v>0</v>
      </c>
      <c r="BJ21">
        <v>2</v>
      </c>
      <c r="BK21" t="s">
        <v>153</v>
      </c>
      <c r="BL21">
        <v>8.8620000000000001</v>
      </c>
      <c r="BM21">
        <v>8.8620000000000001</v>
      </c>
      <c r="BN21" t="s">
        <v>75</v>
      </c>
      <c r="BO21" s="1">
        <v>0.37607638888888889</v>
      </c>
      <c r="BP21" s="3">
        <f t="shared" si="4"/>
        <v>0.99643897928849801</v>
      </c>
      <c r="BQ21" s="3">
        <f t="shared" si="5"/>
        <v>0.99557116444774629</v>
      </c>
    </row>
    <row r="22" spans="1:69" hidden="1" x14ac:dyDescent="0.35">
      <c r="A22">
        <v>20</v>
      </c>
      <c r="B22">
        <v>3891</v>
      </c>
      <c r="D22">
        <v>35</v>
      </c>
      <c r="E22">
        <v>1</v>
      </c>
      <c r="G22">
        <v>16222.6</v>
      </c>
      <c r="I22" t="s">
        <v>62</v>
      </c>
      <c r="L22" t="s">
        <v>80</v>
      </c>
      <c r="M22">
        <v>9.18</v>
      </c>
      <c r="N22">
        <v>38.4</v>
      </c>
      <c r="O22">
        <v>8.6999999999999993</v>
      </c>
      <c r="P22" s="3">
        <f t="shared" si="0"/>
        <v>0.94771241830065356</v>
      </c>
      <c r="Q22">
        <v>31</v>
      </c>
      <c r="R22" s="3">
        <f t="shared" si="1"/>
        <v>0.80729166666666674</v>
      </c>
      <c r="S22">
        <v>270</v>
      </c>
      <c r="T22">
        <v>8.8260000000000005</v>
      </c>
      <c r="U22">
        <v>38.26</v>
      </c>
      <c r="V22">
        <v>8.3279999999999994</v>
      </c>
      <c r="W22" s="3">
        <f t="shared" si="2"/>
        <v>0.94357579877634246</v>
      </c>
      <c r="X22">
        <v>30.65</v>
      </c>
      <c r="Y22" s="3">
        <f t="shared" si="3"/>
        <v>0.80109775222164137</v>
      </c>
      <c r="Z22">
        <v>255.2</v>
      </c>
      <c r="AA22">
        <v>75.599999999999994</v>
      </c>
      <c r="AB22">
        <v>24.8</v>
      </c>
      <c r="AC22" t="s">
        <v>64</v>
      </c>
      <c r="AE22" t="s">
        <v>65</v>
      </c>
      <c r="AF22" t="s">
        <v>66</v>
      </c>
      <c r="AG22" s="2">
        <v>44502</v>
      </c>
      <c r="AH22" s="1">
        <v>0.57792824074074078</v>
      </c>
      <c r="AI22" t="s">
        <v>68</v>
      </c>
      <c r="AJ22" t="s">
        <v>69</v>
      </c>
      <c r="AO22">
        <v>7.1</v>
      </c>
      <c r="AP22">
        <v>37.5</v>
      </c>
      <c r="AQ22">
        <v>25.6</v>
      </c>
      <c r="AR22">
        <v>1.8</v>
      </c>
      <c r="AS22">
        <v>36.1</v>
      </c>
      <c r="AT22">
        <v>153.6</v>
      </c>
      <c r="AY22">
        <v>2.36</v>
      </c>
      <c r="AZ22" t="s">
        <v>81</v>
      </c>
      <c r="BB22" t="s">
        <v>81</v>
      </c>
      <c r="BD22" t="s">
        <v>68</v>
      </c>
      <c r="BE22" t="s">
        <v>154</v>
      </c>
      <c r="BF22" t="s">
        <v>155</v>
      </c>
      <c r="BG22" t="s">
        <v>156</v>
      </c>
      <c r="BH22">
        <v>0</v>
      </c>
      <c r="BI22">
        <v>1</v>
      </c>
      <c r="BJ22">
        <v>2</v>
      </c>
      <c r="BK22" t="s">
        <v>157</v>
      </c>
      <c r="BL22">
        <v>8.8620000000000001</v>
      </c>
      <c r="BM22">
        <v>8.8620000000000001</v>
      </c>
      <c r="BN22" t="s">
        <v>75</v>
      </c>
      <c r="BO22" s="1">
        <v>0.37607638888888889</v>
      </c>
      <c r="BP22" s="3">
        <f t="shared" si="4"/>
        <v>0.99563515319158902</v>
      </c>
      <c r="BQ22" s="3">
        <f t="shared" si="5"/>
        <v>0.99232753823583952</v>
      </c>
    </row>
    <row r="23" spans="1:69" hidden="1" x14ac:dyDescent="0.35">
      <c r="A23">
        <v>21</v>
      </c>
      <c r="B23">
        <v>3894</v>
      </c>
      <c r="D23">
        <v>35</v>
      </c>
      <c r="E23">
        <v>1</v>
      </c>
      <c r="G23">
        <v>16222.6</v>
      </c>
      <c r="I23" t="s">
        <v>62</v>
      </c>
      <c r="L23" t="s">
        <v>63</v>
      </c>
      <c r="M23">
        <v>9.18</v>
      </c>
      <c r="N23">
        <v>38.4</v>
      </c>
      <c r="O23">
        <v>8.6999999999999993</v>
      </c>
      <c r="P23" s="3">
        <f t="shared" si="0"/>
        <v>0.94771241830065356</v>
      </c>
      <c r="Q23">
        <v>31</v>
      </c>
      <c r="R23" s="3">
        <f t="shared" si="1"/>
        <v>0.80729166666666674</v>
      </c>
      <c r="S23">
        <v>270</v>
      </c>
      <c r="T23">
        <v>8.843</v>
      </c>
      <c r="U23">
        <v>38.270000000000003</v>
      </c>
      <c r="V23">
        <v>8.3439999999999994</v>
      </c>
      <c r="W23" s="3">
        <f t="shared" si="2"/>
        <v>0.94357118624901049</v>
      </c>
      <c r="X23">
        <v>30.88</v>
      </c>
      <c r="Y23" s="3">
        <f t="shared" si="3"/>
        <v>0.80689835380193353</v>
      </c>
      <c r="Z23">
        <v>257.7</v>
      </c>
      <c r="AA23">
        <v>76.099999999999994</v>
      </c>
      <c r="AB23">
        <v>25.1</v>
      </c>
      <c r="AC23" t="s">
        <v>64</v>
      </c>
      <c r="AE23" t="s">
        <v>65</v>
      </c>
      <c r="AF23" t="s">
        <v>66</v>
      </c>
      <c r="AG23" t="s">
        <v>67</v>
      </c>
      <c r="AH23" s="1">
        <v>0.41747685185185185</v>
      </c>
      <c r="AI23" t="s">
        <v>68</v>
      </c>
      <c r="AJ23" t="s">
        <v>69</v>
      </c>
      <c r="AO23">
        <v>7.0940000000000003</v>
      </c>
      <c r="AP23">
        <v>40.341000000000001</v>
      </c>
      <c r="AQ23">
        <v>25.6</v>
      </c>
      <c r="AR23">
        <v>1.7749999999999999</v>
      </c>
      <c r="AS23">
        <v>36.1</v>
      </c>
      <c r="AT23">
        <v>153.6</v>
      </c>
      <c r="AY23">
        <v>2.36</v>
      </c>
      <c r="AZ23" t="s">
        <v>70</v>
      </c>
      <c r="BB23" t="s">
        <v>70</v>
      </c>
      <c r="BD23" t="s">
        <v>68</v>
      </c>
      <c r="BE23" t="s">
        <v>158</v>
      </c>
      <c r="BF23" t="s">
        <v>159</v>
      </c>
      <c r="BG23" t="s">
        <v>160</v>
      </c>
      <c r="BH23">
        <v>0</v>
      </c>
      <c r="BI23">
        <v>0</v>
      </c>
      <c r="BJ23">
        <v>1</v>
      </c>
      <c r="BK23" t="s">
        <v>161</v>
      </c>
      <c r="BL23">
        <v>8.8620000000000001</v>
      </c>
      <c r="BM23">
        <v>8.8620000000000001</v>
      </c>
      <c r="BN23" t="s">
        <v>75</v>
      </c>
      <c r="BO23" s="1">
        <v>0.40672453703703704</v>
      </c>
      <c r="BP23" s="3">
        <f t="shared" si="4"/>
        <v>0.99563028617999039</v>
      </c>
      <c r="BQ23" s="3">
        <f t="shared" si="5"/>
        <v>0.99951279954820149</v>
      </c>
    </row>
    <row r="24" spans="1:69" hidden="1" x14ac:dyDescent="0.35">
      <c r="A24">
        <v>22</v>
      </c>
      <c r="B24">
        <v>3902</v>
      </c>
      <c r="D24">
        <v>35</v>
      </c>
      <c r="E24">
        <v>1</v>
      </c>
      <c r="G24">
        <v>16222.6</v>
      </c>
      <c r="I24" t="s">
        <v>62</v>
      </c>
      <c r="L24" t="s">
        <v>63</v>
      </c>
      <c r="M24">
        <v>9.18</v>
      </c>
      <c r="N24">
        <v>38.4</v>
      </c>
      <c r="O24">
        <v>8.6999999999999993</v>
      </c>
      <c r="P24" s="3">
        <f t="shared" si="0"/>
        <v>0.94771241830065356</v>
      </c>
      <c r="Q24">
        <v>31</v>
      </c>
      <c r="R24" s="3">
        <f t="shared" si="1"/>
        <v>0.80729166666666674</v>
      </c>
      <c r="S24">
        <v>270</v>
      </c>
      <c r="T24">
        <v>8.8680000000000003</v>
      </c>
      <c r="U24">
        <v>38.22</v>
      </c>
      <c r="V24">
        <v>8.36</v>
      </c>
      <c r="W24" s="3">
        <f t="shared" si="2"/>
        <v>0.94271538114569231</v>
      </c>
      <c r="X24">
        <v>30.64</v>
      </c>
      <c r="Y24" s="3">
        <f t="shared" si="3"/>
        <v>0.80167451596023032</v>
      </c>
      <c r="Z24">
        <v>256.10000000000002</v>
      </c>
      <c r="AA24">
        <v>75.599999999999994</v>
      </c>
      <c r="AB24">
        <v>25.2</v>
      </c>
      <c r="AC24" t="s">
        <v>64</v>
      </c>
      <c r="AE24" t="s">
        <v>65</v>
      </c>
      <c r="AF24" t="s">
        <v>66</v>
      </c>
      <c r="AG24" t="s">
        <v>67</v>
      </c>
      <c r="AH24" s="1">
        <v>0.41437499999999999</v>
      </c>
      <c r="AI24" t="s">
        <v>68</v>
      </c>
      <c r="AJ24" t="s">
        <v>69</v>
      </c>
      <c r="AO24">
        <v>7.0940000000000003</v>
      </c>
      <c r="AP24">
        <v>40.228000000000002</v>
      </c>
      <c r="AQ24">
        <v>25.6</v>
      </c>
      <c r="AR24">
        <v>1.78</v>
      </c>
      <c r="AS24">
        <v>35.911999999999999</v>
      </c>
      <c r="AT24">
        <v>153.6</v>
      </c>
      <c r="AY24">
        <v>2.36</v>
      </c>
      <c r="AZ24" t="s">
        <v>70</v>
      </c>
      <c r="BB24" t="s">
        <v>70</v>
      </c>
      <c r="BD24" t="s">
        <v>68</v>
      </c>
      <c r="BE24" t="s">
        <v>162</v>
      </c>
      <c r="BF24" t="s">
        <v>163</v>
      </c>
      <c r="BG24" t="s">
        <v>164</v>
      </c>
      <c r="BH24">
        <v>0</v>
      </c>
      <c r="BI24">
        <v>0</v>
      </c>
      <c r="BJ24">
        <v>1</v>
      </c>
      <c r="BK24" t="s">
        <v>165</v>
      </c>
      <c r="BL24">
        <v>8.8620000000000001</v>
      </c>
      <c r="BM24">
        <v>8.8620000000000001</v>
      </c>
      <c r="BN24" t="s">
        <v>75</v>
      </c>
      <c r="BO24" s="1">
        <v>0.44335648148148149</v>
      </c>
      <c r="BP24" s="3">
        <f t="shared" si="4"/>
        <v>0.99472726424338576</v>
      </c>
      <c r="BQ24" s="3">
        <f t="shared" si="5"/>
        <v>0.99304198106041419</v>
      </c>
    </row>
    <row r="25" spans="1:69" hidden="1" x14ac:dyDescent="0.35">
      <c r="A25">
        <v>23</v>
      </c>
      <c r="B25">
        <v>3898</v>
      </c>
      <c r="D25">
        <v>35</v>
      </c>
      <c r="E25">
        <v>1</v>
      </c>
      <c r="G25">
        <v>16222.6</v>
      </c>
      <c r="I25" t="s">
        <v>62</v>
      </c>
      <c r="L25" t="s">
        <v>80</v>
      </c>
      <c r="M25">
        <v>9.18</v>
      </c>
      <c r="N25">
        <v>38.4</v>
      </c>
      <c r="O25">
        <v>8.6999999999999993</v>
      </c>
      <c r="P25" s="3">
        <f t="shared" si="0"/>
        <v>0.94771241830065356</v>
      </c>
      <c r="Q25">
        <v>31</v>
      </c>
      <c r="R25" s="3">
        <f t="shared" si="1"/>
        <v>0.80729166666666674</v>
      </c>
      <c r="S25">
        <v>270</v>
      </c>
      <c r="T25">
        <v>8.8550000000000004</v>
      </c>
      <c r="U25">
        <v>38.17</v>
      </c>
      <c r="V25">
        <v>8.3219999999999992</v>
      </c>
      <c r="W25" s="3">
        <f t="shared" si="2"/>
        <v>0.93980801806888747</v>
      </c>
      <c r="X25">
        <v>30.54</v>
      </c>
      <c r="Y25" s="3">
        <f t="shared" si="3"/>
        <v>0.80010479434110549</v>
      </c>
      <c r="Z25">
        <v>254.2</v>
      </c>
      <c r="AA25">
        <v>75.2</v>
      </c>
      <c r="AB25">
        <v>25.2</v>
      </c>
      <c r="AC25" t="s">
        <v>64</v>
      </c>
      <c r="AE25" t="s">
        <v>65</v>
      </c>
      <c r="AF25" t="s">
        <v>66</v>
      </c>
      <c r="AG25" s="2">
        <v>44502</v>
      </c>
      <c r="AH25" s="1">
        <v>0.56635416666666671</v>
      </c>
      <c r="AI25" t="s">
        <v>68</v>
      </c>
      <c r="AJ25" t="s">
        <v>69</v>
      </c>
      <c r="AO25">
        <v>7.1</v>
      </c>
      <c r="AP25">
        <v>40.1</v>
      </c>
      <c r="AQ25">
        <v>25.6</v>
      </c>
      <c r="AR25">
        <v>1.8</v>
      </c>
      <c r="AS25">
        <v>35.9</v>
      </c>
      <c r="AT25">
        <v>153.6</v>
      </c>
      <c r="AY25">
        <v>2.36</v>
      </c>
      <c r="AZ25" t="s">
        <v>81</v>
      </c>
      <c r="BB25" t="s">
        <v>81</v>
      </c>
      <c r="BD25" t="s">
        <v>68</v>
      </c>
      <c r="BE25" t="s">
        <v>166</v>
      </c>
      <c r="BF25" t="s">
        <v>167</v>
      </c>
      <c r="BG25" t="s">
        <v>168</v>
      </c>
      <c r="BH25">
        <v>0</v>
      </c>
      <c r="BI25">
        <v>0</v>
      </c>
      <c r="BJ25">
        <v>1</v>
      </c>
      <c r="BK25" t="s">
        <v>169</v>
      </c>
      <c r="BL25">
        <v>8.8620000000000001</v>
      </c>
      <c r="BM25">
        <v>8.8620000000000001</v>
      </c>
      <c r="BN25" t="s">
        <v>75</v>
      </c>
      <c r="BO25" s="1">
        <v>0.42731481481481481</v>
      </c>
      <c r="BP25" s="3">
        <f t="shared" si="4"/>
        <v>0.99165949492786065</v>
      </c>
      <c r="BQ25" s="3">
        <f t="shared" si="5"/>
        <v>0.99109755169994995</v>
      </c>
    </row>
    <row r="26" spans="1:69" hidden="1" x14ac:dyDescent="0.35">
      <c r="A26">
        <v>24</v>
      </c>
      <c r="B26">
        <v>3907</v>
      </c>
      <c r="D26">
        <v>35</v>
      </c>
      <c r="E26">
        <v>1</v>
      </c>
      <c r="G26">
        <v>16222.6</v>
      </c>
      <c r="I26" t="s">
        <v>62</v>
      </c>
      <c r="L26" t="s">
        <v>80</v>
      </c>
      <c r="M26">
        <v>9.18</v>
      </c>
      <c r="N26">
        <v>38.4</v>
      </c>
      <c r="O26">
        <v>8.6999999999999993</v>
      </c>
      <c r="P26" s="3">
        <f t="shared" si="0"/>
        <v>0.94771241830065356</v>
      </c>
      <c r="Q26">
        <v>31</v>
      </c>
      <c r="R26" s="3">
        <f t="shared" si="1"/>
        <v>0.80729166666666674</v>
      </c>
      <c r="S26">
        <v>270</v>
      </c>
      <c r="T26">
        <v>8.85</v>
      </c>
      <c r="U26">
        <v>38.270000000000003</v>
      </c>
      <c r="V26">
        <v>8.3249999999999993</v>
      </c>
      <c r="W26" s="3">
        <f t="shared" si="2"/>
        <v>0.94067796610169485</v>
      </c>
      <c r="X26">
        <v>30.63</v>
      </c>
      <c r="Y26" s="3">
        <f t="shared" si="3"/>
        <v>0.80036582179252669</v>
      </c>
      <c r="Z26">
        <v>255</v>
      </c>
      <c r="AA26">
        <v>75.3</v>
      </c>
      <c r="AB26">
        <v>25.2</v>
      </c>
      <c r="AC26" t="s">
        <v>64</v>
      </c>
      <c r="AE26" t="s">
        <v>65</v>
      </c>
      <c r="AF26" t="s">
        <v>66</v>
      </c>
      <c r="AG26" s="2">
        <v>44502</v>
      </c>
      <c r="AH26" s="1">
        <v>0.57028935185185181</v>
      </c>
      <c r="AI26" t="s">
        <v>68</v>
      </c>
      <c r="AJ26" t="s">
        <v>69</v>
      </c>
      <c r="AO26">
        <v>7.1</v>
      </c>
      <c r="AP26">
        <v>40.1</v>
      </c>
      <c r="AQ26">
        <v>25.6</v>
      </c>
      <c r="AR26">
        <v>1.8</v>
      </c>
      <c r="AS26">
        <v>35.9</v>
      </c>
      <c r="AT26">
        <v>153.6</v>
      </c>
      <c r="AY26">
        <v>2.36</v>
      </c>
      <c r="AZ26" t="s">
        <v>81</v>
      </c>
      <c r="BB26" t="s">
        <v>81</v>
      </c>
      <c r="BD26" t="s">
        <v>68</v>
      </c>
      <c r="BE26" t="s">
        <v>170</v>
      </c>
      <c r="BF26" t="s">
        <v>171</v>
      </c>
      <c r="BG26" t="s">
        <v>172</v>
      </c>
      <c r="BH26">
        <v>0</v>
      </c>
      <c r="BI26">
        <v>0</v>
      </c>
      <c r="BJ26">
        <v>1</v>
      </c>
      <c r="BK26" t="s">
        <v>173</v>
      </c>
      <c r="BL26">
        <v>8.8620000000000001</v>
      </c>
      <c r="BM26">
        <v>8.8620000000000001</v>
      </c>
      <c r="BN26" t="s">
        <v>75</v>
      </c>
      <c r="BO26" s="1">
        <v>0.4651851851851852</v>
      </c>
      <c r="BP26" s="3">
        <f t="shared" si="4"/>
        <v>0.99257744009351256</v>
      </c>
      <c r="BQ26" s="3">
        <f t="shared" si="5"/>
        <v>0.9914208889300975</v>
      </c>
    </row>
    <row r="27" spans="1:69" hidden="1" x14ac:dyDescent="0.35">
      <c r="A27">
        <v>25</v>
      </c>
      <c r="B27">
        <v>3885</v>
      </c>
      <c r="D27">
        <v>35</v>
      </c>
      <c r="E27">
        <v>1</v>
      </c>
      <c r="G27">
        <v>16222.6</v>
      </c>
      <c r="I27" t="s">
        <v>62</v>
      </c>
      <c r="L27" t="s">
        <v>80</v>
      </c>
      <c r="M27">
        <v>9.18</v>
      </c>
      <c r="N27">
        <v>38.4</v>
      </c>
      <c r="O27">
        <v>8.6999999999999993</v>
      </c>
      <c r="P27" s="3">
        <f t="shared" si="0"/>
        <v>0.94771241830065356</v>
      </c>
      <c r="Q27">
        <v>31</v>
      </c>
      <c r="R27" s="3">
        <f t="shared" si="1"/>
        <v>0.80729166666666674</v>
      </c>
      <c r="S27">
        <v>270</v>
      </c>
      <c r="T27">
        <v>8.8190000000000008</v>
      </c>
      <c r="U27">
        <v>38.22</v>
      </c>
      <c r="V27">
        <v>8.3260000000000005</v>
      </c>
      <c r="W27" s="3">
        <f t="shared" si="2"/>
        <v>0.94409797029141618</v>
      </c>
      <c r="X27">
        <v>30.52</v>
      </c>
      <c r="Y27" s="3">
        <f t="shared" si="3"/>
        <v>0.79853479853479858</v>
      </c>
      <c r="Z27">
        <v>254.1</v>
      </c>
      <c r="AA27">
        <v>75.400000000000006</v>
      </c>
      <c r="AB27">
        <v>24.8</v>
      </c>
      <c r="AC27" t="s">
        <v>64</v>
      </c>
      <c r="AE27" t="s">
        <v>65</v>
      </c>
      <c r="AF27" t="s">
        <v>66</v>
      </c>
      <c r="AG27" s="2">
        <v>44502</v>
      </c>
      <c r="AH27" s="1">
        <v>0.58003472222222219</v>
      </c>
      <c r="AI27" t="s">
        <v>68</v>
      </c>
      <c r="AJ27" t="s">
        <v>69</v>
      </c>
      <c r="AO27">
        <v>7.1</v>
      </c>
      <c r="AP27">
        <v>40.200000000000003</v>
      </c>
      <c r="AQ27">
        <v>25.6</v>
      </c>
      <c r="AR27">
        <v>1.8</v>
      </c>
      <c r="AS27">
        <v>36</v>
      </c>
      <c r="AT27">
        <v>153.6</v>
      </c>
      <c r="AY27">
        <v>2.36</v>
      </c>
      <c r="AZ27" t="s">
        <v>81</v>
      </c>
      <c r="BB27" t="s">
        <v>81</v>
      </c>
      <c r="BD27" t="s">
        <v>68</v>
      </c>
      <c r="BE27" t="s">
        <v>174</v>
      </c>
      <c r="BF27" t="s">
        <v>175</v>
      </c>
      <c r="BG27" t="s">
        <v>176</v>
      </c>
      <c r="BH27">
        <v>0</v>
      </c>
      <c r="BI27">
        <v>0</v>
      </c>
      <c r="BJ27">
        <v>1</v>
      </c>
      <c r="BK27" t="s">
        <v>177</v>
      </c>
      <c r="BL27">
        <v>8.8620000000000001</v>
      </c>
      <c r="BM27">
        <v>8.8620000000000001</v>
      </c>
      <c r="BN27" t="s">
        <v>75</v>
      </c>
      <c r="BO27" s="1">
        <v>0.33892361111111113</v>
      </c>
      <c r="BP27" s="3">
        <f t="shared" si="4"/>
        <v>0.99618613416956336</v>
      </c>
      <c r="BQ27" s="3">
        <f t="shared" si="5"/>
        <v>0.9891527827011698</v>
      </c>
    </row>
    <row r="28" spans="1:69" hidden="1" x14ac:dyDescent="0.35">
      <c r="A28">
        <v>26</v>
      </c>
      <c r="B28">
        <v>3893</v>
      </c>
      <c r="D28">
        <v>35</v>
      </c>
      <c r="E28">
        <v>1</v>
      </c>
      <c r="G28">
        <v>16222.6</v>
      </c>
      <c r="I28" t="s">
        <v>62</v>
      </c>
      <c r="L28" t="s">
        <v>80</v>
      </c>
      <c r="M28">
        <v>9.18</v>
      </c>
      <c r="N28">
        <v>38.4</v>
      </c>
      <c r="O28">
        <v>8.6999999999999993</v>
      </c>
      <c r="P28" s="3">
        <f t="shared" si="0"/>
        <v>0.94771241830065356</v>
      </c>
      <c r="Q28">
        <v>31</v>
      </c>
      <c r="R28" s="3">
        <f t="shared" si="1"/>
        <v>0.80729166666666674</v>
      </c>
      <c r="S28">
        <v>270</v>
      </c>
      <c r="T28">
        <v>8.8439999999999994</v>
      </c>
      <c r="U28">
        <v>38.26</v>
      </c>
      <c r="V28">
        <v>8.3339999999999996</v>
      </c>
      <c r="W28" s="3">
        <f t="shared" si="2"/>
        <v>0.94233378561736769</v>
      </c>
      <c r="X28">
        <v>30.51</v>
      </c>
      <c r="Y28" s="3">
        <f t="shared" si="3"/>
        <v>0.79743857814950347</v>
      </c>
      <c r="Z28">
        <v>254.3</v>
      </c>
      <c r="AA28">
        <v>75.2</v>
      </c>
      <c r="AB28">
        <v>25.3</v>
      </c>
      <c r="AC28" t="s">
        <v>64</v>
      </c>
      <c r="AE28" t="s">
        <v>65</v>
      </c>
      <c r="AF28" t="s">
        <v>66</v>
      </c>
      <c r="AG28" s="2">
        <v>44502</v>
      </c>
      <c r="AH28" s="1">
        <v>0.57216435185185188</v>
      </c>
      <c r="AI28" t="s">
        <v>68</v>
      </c>
      <c r="AJ28" t="s">
        <v>69</v>
      </c>
      <c r="AO28">
        <v>7.1</v>
      </c>
      <c r="AP28">
        <v>40.200000000000003</v>
      </c>
      <c r="AQ28">
        <v>25.6</v>
      </c>
      <c r="AR28">
        <v>1.8</v>
      </c>
      <c r="AS28">
        <v>35.9</v>
      </c>
      <c r="AT28">
        <v>153.6</v>
      </c>
      <c r="AY28">
        <v>2.36</v>
      </c>
      <c r="AZ28" t="s">
        <v>81</v>
      </c>
      <c r="BB28" t="s">
        <v>81</v>
      </c>
      <c r="BD28" t="s">
        <v>68</v>
      </c>
      <c r="BE28" t="s">
        <v>178</v>
      </c>
      <c r="BF28" t="s">
        <v>179</v>
      </c>
      <c r="BG28" t="s">
        <v>180</v>
      </c>
      <c r="BH28">
        <v>0</v>
      </c>
      <c r="BI28">
        <v>0</v>
      </c>
      <c r="BJ28">
        <v>1</v>
      </c>
      <c r="BK28" t="s">
        <v>181</v>
      </c>
      <c r="BL28">
        <v>8.8620000000000001</v>
      </c>
      <c r="BM28">
        <v>8.8620000000000001</v>
      </c>
      <c r="BN28" t="s">
        <v>75</v>
      </c>
      <c r="BO28" s="1">
        <v>0.40086805555555555</v>
      </c>
      <c r="BP28" s="3">
        <f t="shared" si="4"/>
        <v>0.99432461516867077</v>
      </c>
      <c r="BQ28" s="3">
        <f t="shared" si="5"/>
        <v>0.98779488390132031</v>
      </c>
    </row>
    <row r="29" spans="1:69" hidden="1" x14ac:dyDescent="0.35">
      <c r="A29">
        <v>27</v>
      </c>
      <c r="B29">
        <v>4482</v>
      </c>
      <c r="D29">
        <v>7</v>
      </c>
      <c r="E29">
        <v>1</v>
      </c>
      <c r="G29">
        <v>16255.6</v>
      </c>
      <c r="I29" t="s">
        <v>182</v>
      </c>
      <c r="L29" t="s">
        <v>183</v>
      </c>
      <c r="M29">
        <v>8.84</v>
      </c>
      <c r="N29">
        <v>38.090000000000003</v>
      </c>
      <c r="O29">
        <v>8.26</v>
      </c>
      <c r="P29" s="3">
        <f t="shared" si="0"/>
        <v>0.93438914027149322</v>
      </c>
      <c r="Q29">
        <v>31.48</v>
      </c>
      <c r="R29" s="3">
        <f t="shared" si="1"/>
        <v>0.82646363875032813</v>
      </c>
      <c r="S29">
        <v>260</v>
      </c>
      <c r="T29">
        <v>9.1029999999999998</v>
      </c>
      <c r="U29">
        <v>37.89</v>
      </c>
      <c r="V29">
        <v>8.6389999999999993</v>
      </c>
      <c r="W29" s="3">
        <f t="shared" si="2"/>
        <v>0.94902779303526308</v>
      </c>
      <c r="X29">
        <v>30.63</v>
      </c>
      <c r="Y29" s="3">
        <f t="shared" si="3"/>
        <v>0.80839271575613614</v>
      </c>
      <c r="Z29">
        <v>264.60000000000002</v>
      </c>
      <c r="AA29">
        <v>76.7</v>
      </c>
      <c r="AB29">
        <v>25.3</v>
      </c>
      <c r="AC29" t="s">
        <v>64</v>
      </c>
      <c r="AE29" t="s">
        <v>65</v>
      </c>
      <c r="AF29" t="s">
        <v>66</v>
      </c>
      <c r="AG29" t="s">
        <v>184</v>
      </c>
      <c r="AH29" s="1">
        <v>0.31085648148148148</v>
      </c>
      <c r="AI29" t="s">
        <v>68</v>
      </c>
      <c r="AJ29" t="s">
        <v>69</v>
      </c>
      <c r="AO29">
        <v>7.2930000000000001</v>
      </c>
      <c r="AP29">
        <v>39.590000000000003</v>
      </c>
      <c r="AQ29">
        <v>51.2</v>
      </c>
      <c r="AR29">
        <v>1.825</v>
      </c>
      <c r="AS29">
        <v>35.423999999999999</v>
      </c>
      <c r="AT29">
        <v>204.6</v>
      </c>
      <c r="AY29">
        <v>2.36</v>
      </c>
      <c r="AZ29" t="s">
        <v>185</v>
      </c>
      <c r="BB29" t="s">
        <v>185</v>
      </c>
      <c r="BD29" t="s">
        <v>68</v>
      </c>
      <c r="BE29" t="s">
        <v>186</v>
      </c>
      <c r="BF29" t="s">
        <v>187</v>
      </c>
      <c r="BG29" t="s">
        <v>188</v>
      </c>
      <c r="BH29">
        <v>0</v>
      </c>
      <c r="BI29">
        <v>0</v>
      </c>
      <c r="BJ29">
        <v>1</v>
      </c>
      <c r="BK29" t="s">
        <v>189</v>
      </c>
      <c r="BL29">
        <v>8.8620000000000001</v>
      </c>
      <c r="BM29">
        <v>8.8620000000000001</v>
      </c>
      <c r="BN29" t="s">
        <v>184</v>
      </c>
      <c r="BO29" s="1">
        <v>0.31085648148148148</v>
      </c>
      <c r="BP29" s="3">
        <f t="shared" si="4"/>
        <v>1.0156665484784171</v>
      </c>
      <c r="BQ29" s="3">
        <f t="shared" si="5"/>
        <v>0.97813464241268189</v>
      </c>
    </row>
    <row r="30" spans="1:69" hidden="1" x14ac:dyDescent="0.35">
      <c r="A30">
        <v>28</v>
      </c>
      <c r="B30">
        <v>4481</v>
      </c>
      <c r="D30">
        <v>7</v>
      </c>
      <c r="E30">
        <v>1</v>
      </c>
      <c r="G30">
        <v>16255.6</v>
      </c>
      <c r="I30" t="s">
        <v>182</v>
      </c>
      <c r="L30" t="s">
        <v>183</v>
      </c>
      <c r="M30">
        <v>8.84</v>
      </c>
      <c r="N30">
        <v>38.090000000000003</v>
      </c>
      <c r="O30">
        <v>8.26</v>
      </c>
      <c r="P30" s="3">
        <f t="shared" si="0"/>
        <v>0.93438914027149322</v>
      </c>
      <c r="Q30">
        <v>31.48</v>
      </c>
      <c r="R30" s="3">
        <f t="shared" si="1"/>
        <v>0.82646363875032813</v>
      </c>
      <c r="S30">
        <v>260</v>
      </c>
      <c r="T30">
        <v>9.0869999999999997</v>
      </c>
      <c r="U30">
        <v>37.950000000000003</v>
      </c>
      <c r="V30">
        <v>8.6379999999999999</v>
      </c>
      <c r="W30" s="3">
        <f t="shared" si="2"/>
        <v>0.95058875316386049</v>
      </c>
      <c r="X30">
        <v>30.71</v>
      </c>
      <c r="Y30" s="3">
        <f t="shared" si="3"/>
        <v>0.80922266139657439</v>
      </c>
      <c r="Z30">
        <v>265.3</v>
      </c>
      <c r="AA30">
        <v>76.900000000000006</v>
      </c>
      <c r="AB30">
        <v>24.9</v>
      </c>
      <c r="AC30" t="s">
        <v>64</v>
      </c>
      <c r="AE30" t="s">
        <v>65</v>
      </c>
      <c r="AF30" t="s">
        <v>66</v>
      </c>
      <c r="AG30" t="s">
        <v>184</v>
      </c>
      <c r="AH30" s="1">
        <v>0.30944444444444447</v>
      </c>
      <c r="AI30" t="s">
        <v>68</v>
      </c>
      <c r="AJ30" t="s">
        <v>69</v>
      </c>
      <c r="AO30">
        <v>7.2779999999999996</v>
      </c>
      <c r="AP30">
        <v>39.552999999999997</v>
      </c>
      <c r="AQ30">
        <v>51.2</v>
      </c>
      <c r="AR30">
        <v>1.8149999999999999</v>
      </c>
      <c r="AS30">
        <v>35.462000000000003</v>
      </c>
      <c r="AT30">
        <v>204.6</v>
      </c>
      <c r="AY30">
        <v>2.36</v>
      </c>
      <c r="AZ30" t="s">
        <v>185</v>
      </c>
      <c r="BB30" t="s">
        <v>185</v>
      </c>
      <c r="BD30" t="s">
        <v>68</v>
      </c>
      <c r="BE30" t="s">
        <v>190</v>
      </c>
      <c r="BF30" t="s">
        <v>191</v>
      </c>
      <c r="BG30" t="s">
        <v>192</v>
      </c>
      <c r="BH30">
        <v>0</v>
      </c>
      <c r="BI30">
        <v>0</v>
      </c>
      <c r="BJ30">
        <v>1</v>
      </c>
      <c r="BK30" t="s">
        <v>193</v>
      </c>
      <c r="BL30">
        <v>8.8620000000000001</v>
      </c>
      <c r="BM30">
        <v>8.8620000000000001</v>
      </c>
      <c r="BN30" t="s">
        <v>184</v>
      </c>
      <c r="BO30" s="1">
        <v>0.30944444444444447</v>
      </c>
      <c r="BP30" s="3">
        <f t="shared" si="4"/>
        <v>1.0173371159768192</v>
      </c>
      <c r="BQ30" s="3">
        <f t="shared" si="5"/>
        <v>0.97913885554623636</v>
      </c>
    </row>
    <row r="31" spans="1:69" hidden="1" x14ac:dyDescent="0.35">
      <c r="A31">
        <v>29</v>
      </c>
      <c r="B31">
        <v>4477</v>
      </c>
      <c r="D31">
        <v>7</v>
      </c>
      <c r="E31">
        <v>1</v>
      </c>
      <c r="G31">
        <v>16255.6</v>
      </c>
      <c r="I31" t="s">
        <v>182</v>
      </c>
      <c r="L31" t="s">
        <v>183</v>
      </c>
      <c r="M31">
        <v>8.84</v>
      </c>
      <c r="N31">
        <v>38.090000000000003</v>
      </c>
      <c r="O31">
        <v>8.26</v>
      </c>
      <c r="P31" s="3">
        <f t="shared" si="0"/>
        <v>0.93438914027149322</v>
      </c>
      <c r="Q31">
        <v>31.48</v>
      </c>
      <c r="R31" s="3">
        <f t="shared" si="1"/>
        <v>0.82646363875032813</v>
      </c>
      <c r="S31">
        <v>260</v>
      </c>
      <c r="T31">
        <v>9.1010000000000009</v>
      </c>
      <c r="U31">
        <v>37.97</v>
      </c>
      <c r="V31">
        <v>8.6519999999999992</v>
      </c>
      <c r="W31" s="3">
        <f t="shared" si="2"/>
        <v>0.95066476211405326</v>
      </c>
      <c r="X31">
        <v>30.7</v>
      </c>
      <c r="Y31" s="3">
        <f t="shared" si="3"/>
        <v>0.80853305240979723</v>
      </c>
      <c r="Z31">
        <v>265.60000000000002</v>
      </c>
      <c r="AA31">
        <v>76.900000000000006</v>
      </c>
      <c r="AB31">
        <v>24.9</v>
      </c>
      <c r="AC31" t="s">
        <v>64</v>
      </c>
      <c r="AE31" t="s">
        <v>65</v>
      </c>
      <c r="AF31" t="s">
        <v>66</v>
      </c>
      <c r="AG31" t="s">
        <v>184</v>
      </c>
      <c r="AH31" s="1">
        <v>0.30319444444444443</v>
      </c>
      <c r="AI31" t="s">
        <v>68</v>
      </c>
      <c r="AJ31" t="s">
        <v>69</v>
      </c>
      <c r="AO31">
        <v>7.2830000000000004</v>
      </c>
      <c r="AP31">
        <v>39.628</v>
      </c>
      <c r="AQ31">
        <v>51.2</v>
      </c>
      <c r="AR31">
        <v>1.82</v>
      </c>
      <c r="AS31">
        <v>35.536999999999999</v>
      </c>
      <c r="AT31">
        <v>204.6</v>
      </c>
      <c r="AY31">
        <v>2.36</v>
      </c>
      <c r="AZ31" t="s">
        <v>185</v>
      </c>
      <c r="BB31" t="s">
        <v>185</v>
      </c>
      <c r="BD31" t="s">
        <v>68</v>
      </c>
      <c r="BE31" t="s">
        <v>194</v>
      </c>
      <c r="BF31" t="s">
        <v>195</v>
      </c>
      <c r="BG31" t="s">
        <v>196</v>
      </c>
      <c r="BH31">
        <v>0</v>
      </c>
      <c r="BI31">
        <v>0</v>
      </c>
      <c r="BJ31">
        <v>1</v>
      </c>
      <c r="BK31" t="s">
        <v>197</v>
      </c>
      <c r="BL31">
        <v>8.8620000000000001</v>
      </c>
      <c r="BM31">
        <v>8.8620000000000001</v>
      </c>
      <c r="BN31" t="s">
        <v>184</v>
      </c>
      <c r="BO31" s="1">
        <v>0.30319444444444443</v>
      </c>
      <c r="BP31" s="3">
        <f t="shared" si="4"/>
        <v>1.0174184621172193</v>
      </c>
      <c r="BQ31" s="3">
        <f t="shared" si="5"/>
        <v>0.97830444619724199</v>
      </c>
    </row>
    <row r="32" spans="1:69" hidden="1" x14ac:dyDescent="0.35">
      <c r="A32">
        <v>30</v>
      </c>
      <c r="B32">
        <v>4474</v>
      </c>
      <c r="D32">
        <v>7</v>
      </c>
      <c r="E32">
        <v>1</v>
      </c>
      <c r="G32">
        <v>16255.6</v>
      </c>
      <c r="I32" t="s">
        <v>182</v>
      </c>
      <c r="L32" t="s">
        <v>183</v>
      </c>
      <c r="M32">
        <v>8.84</v>
      </c>
      <c r="N32">
        <v>38.090000000000003</v>
      </c>
      <c r="O32">
        <v>8.26</v>
      </c>
      <c r="P32" s="3">
        <f t="shared" si="0"/>
        <v>0.93438914027149322</v>
      </c>
      <c r="Q32">
        <v>31.48</v>
      </c>
      <c r="R32" s="3">
        <f t="shared" si="1"/>
        <v>0.82646363875032813</v>
      </c>
      <c r="S32">
        <v>260</v>
      </c>
      <c r="T32">
        <v>9.0589999999999993</v>
      </c>
      <c r="U32">
        <v>37.83</v>
      </c>
      <c r="V32">
        <v>8.6050000000000004</v>
      </c>
      <c r="W32" s="3">
        <f t="shared" si="2"/>
        <v>0.94988409316701639</v>
      </c>
      <c r="X32">
        <v>30.56</v>
      </c>
      <c r="Y32" s="3">
        <f t="shared" si="3"/>
        <v>0.80782447792757073</v>
      </c>
      <c r="Z32">
        <v>262.89999999999998</v>
      </c>
      <c r="AA32">
        <v>76.7</v>
      </c>
      <c r="AB32">
        <v>25.2</v>
      </c>
      <c r="AC32" t="s">
        <v>64</v>
      </c>
      <c r="AE32" t="s">
        <v>65</v>
      </c>
      <c r="AF32" t="s">
        <v>66</v>
      </c>
      <c r="AG32" t="s">
        <v>184</v>
      </c>
      <c r="AH32" s="1">
        <v>0.29392361111111109</v>
      </c>
      <c r="AI32" t="s">
        <v>68</v>
      </c>
      <c r="AJ32" t="s">
        <v>69</v>
      </c>
      <c r="AO32">
        <v>7.2530000000000001</v>
      </c>
      <c r="AP32">
        <v>38.838999999999999</v>
      </c>
      <c r="AQ32">
        <v>51.2</v>
      </c>
      <c r="AR32">
        <v>1.8149999999999999</v>
      </c>
      <c r="AS32">
        <v>35.973999999999997</v>
      </c>
      <c r="AT32">
        <v>204.6</v>
      </c>
      <c r="AY32">
        <v>2.36</v>
      </c>
      <c r="AZ32" t="s">
        <v>185</v>
      </c>
      <c r="BB32" t="s">
        <v>185</v>
      </c>
      <c r="BD32" t="s">
        <v>68</v>
      </c>
      <c r="BE32" t="s">
        <v>198</v>
      </c>
      <c r="BF32" t="s">
        <v>199</v>
      </c>
      <c r="BG32" t="s">
        <v>200</v>
      </c>
      <c r="BH32">
        <v>0</v>
      </c>
      <c r="BI32">
        <v>0</v>
      </c>
      <c r="BJ32">
        <v>1</v>
      </c>
      <c r="BK32" t="s">
        <v>201</v>
      </c>
      <c r="BL32">
        <v>8.8620000000000001</v>
      </c>
      <c r="BM32">
        <v>8.8620000000000001</v>
      </c>
      <c r="BN32" t="s">
        <v>184</v>
      </c>
      <c r="BO32" s="1">
        <v>0.29392361111111109</v>
      </c>
      <c r="BP32" s="3">
        <f t="shared" si="4"/>
        <v>1.0165829762223275</v>
      </c>
      <c r="BQ32" s="3">
        <f t="shared" si="5"/>
        <v>0.97744708908072331</v>
      </c>
    </row>
    <row r="33" spans="1:69" hidden="1" x14ac:dyDescent="0.35">
      <c r="A33">
        <v>31</v>
      </c>
      <c r="B33">
        <v>4478</v>
      </c>
      <c r="D33">
        <v>7</v>
      </c>
      <c r="E33">
        <v>1</v>
      </c>
      <c r="G33">
        <v>16255.6</v>
      </c>
      <c r="I33" t="s">
        <v>182</v>
      </c>
      <c r="L33" t="s">
        <v>183</v>
      </c>
      <c r="M33">
        <v>8.84</v>
      </c>
      <c r="N33">
        <v>38.090000000000003</v>
      </c>
      <c r="O33">
        <v>8.26</v>
      </c>
      <c r="P33" s="3">
        <f t="shared" si="0"/>
        <v>0.93438914027149322</v>
      </c>
      <c r="Q33">
        <v>31.48</v>
      </c>
      <c r="R33" s="3">
        <f t="shared" si="1"/>
        <v>0.82646363875032813</v>
      </c>
      <c r="S33">
        <v>260</v>
      </c>
      <c r="T33">
        <v>9.0820000000000007</v>
      </c>
      <c r="U33">
        <v>37.909999999999997</v>
      </c>
      <c r="V33">
        <v>8.6419999999999995</v>
      </c>
      <c r="W33" s="3">
        <f t="shared" si="2"/>
        <v>0.95155252147104152</v>
      </c>
      <c r="X33">
        <v>30.65</v>
      </c>
      <c r="Y33" s="3">
        <f t="shared" si="3"/>
        <v>0.80849380110788716</v>
      </c>
      <c r="Z33">
        <v>264.89999999999998</v>
      </c>
      <c r="AA33">
        <v>76.900000000000006</v>
      </c>
      <c r="AB33">
        <v>24.9</v>
      </c>
      <c r="AC33" t="s">
        <v>64</v>
      </c>
      <c r="AE33" t="s">
        <v>65</v>
      </c>
      <c r="AF33" t="s">
        <v>66</v>
      </c>
      <c r="AG33" t="s">
        <v>184</v>
      </c>
      <c r="AH33" s="1">
        <v>0.30478009259259259</v>
      </c>
      <c r="AI33" t="s">
        <v>68</v>
      </c>
      <c r="AJ33" t="s">
        <v>69</v>
      </c>
      <c r="AO33">
        <v>7.2779999999999996</v>
      </c>
      <c r="AP33">
        <v>39.628</v>
      </c>
      <c r="AQ33">
        <v>51.2</v>
      </c>
      <c r="AR33">
        <v>1.82</v>
      </c>
      <c r="AS33">
        <v>35.423999999999999</v>
      </c>
      <c r="AT33">
        <v>204.6</v>
      </c>
      <c r="AY33">
        <v>2.36</v>
      </c>
      <c r="AZ33" t="s">
        <v>185</v>
      </c>
      <c r="BB33" t="s">
        <v>185</v>
      </c>
      <c r="BD33" t="s">
        <v>68</v>
      </c>
      <c r="BE33" t="s">
        <v>202</v>
      </c>
      <c r="BF33" t="s">
        <v>203</v>
      </c>
      <c r="BG33" t="s">
        <v>204</v>
      </c>
      <c r="BH33">
        <v>0</v>
      </c>
      <c r="BI33">
        <v>0</v>
      </c>
      <c r="BJ33">
        <v>1</v>
      </c>
      <c r="BK33" t="s">
        <v>205</v>
      </c>
      <c r="BL33">
        <v>8.8620000000000001</v>
      </c>
      <c r="BM33">
        <v>8.8620000000000001</v>
      </c>
      <c r="BN33" t="s">
        <v>184</v>
      </c>
      <c r="BO33" s="1">
        <v>0.30478009259259259</v>
      </c>
      <c r="BP33" s="3">
        <f t="shared" si="4"/>
        <v>1.0183685580876523</v>
      </c>
      <c r="BQ33" s="3">
        <f t="shared" si="5"/>
        <v>0.97825695311942262</v>
      </c>
    </row>
    <row r="34" spans="1:69" hidden="1" x14ac:dyDescent="0.35">
      <c r="A34">
        <v>32</v>
      </c>
      <c r="B34">
        <v>4476</v>
      </c>
      <c r="D34">
        <v>7</v>
      </c>
      <c r="E34">
        <v>1</v>
      </c>
      <c r="G34">
        <v>16255.6</v>
      </c>
      <c r="I34" t="s">
        <v>182</v>
      </c>
      <c r="L34" t="s">
        <v>183</v>
      </c>
      <c r="M34">
        <v>8.84</v>
      </c>
      <c r="N34">
        <v>38.090000000000003</v>
      </c>
      <c r="O34">
        <v>8.26</v>
      </c>
      <c r="P34" s="3">
        <f t="shared" si="0"/>
        <v>0.93438914027149322</v>
      </c>
      <c r="Q34">
        <v>31.48</v>
      </c>
      <c r="R34" s="3">
        <f t="shared" si="1"/>
        <v>0.82646363875032813</v>
      </c>
      <c r="S34">
        <v>260</v>
      </c>
      <c r="T34">
        <v>9.1080000000000005</v>
      </c>
      <c r="U34">
        <v>37.9</v>
      </c>
      <c r="V34">
        <v>8.6120000000000001</v>
      </c>
      <c r="W34" s="3">
        <f t="shared" si="2"/>
        <v>0.94554238032498894</v>
      </c>
      <c r="X34">
        <v>30.56</v>
      </c>
      <c r="Y34" s="3">
        <f t="shared" si="3"/>
        <v>0.8063324538258575</v>
      </c>
      <c r="Z34">
        <v>263.2</v>
      </c>
      <c r="AA34">
        <v>76.2</v>
      </c>
      <c r="AB34">
        <v>24.9</v>
      </c>
      <c r="AC34" t="s">
        <v>64</v>
      </c>
      <c r="AE34" t="s">
        <v>65</v>
      </c>
      <c r="AF34" t="s">
        <v>66</v>
      </c>
      <c r="AG34" t="s">
        <v>184</v>
      </c>
      <c r="AH34" s="1">
        <v>0.29989583333333331</v>
      </c>
      <c r="AI34" t="s">
        <v>68</v>
      </c>
      <c r="AJ34" t="s">
        <v>69</v>
      </c>
      <c r="AO34">
        <v>7.298</v>
      </c>
      <c r="AP34">
        <v>39.44</v>
      </c>
      <c r="AQ34">
        <v>51.2</v>
      </c>
      <c r="AR34">
        <v>1.82</v>
      </c>
      <c r="AS34">
        <v>35.423999999999999</v>
      </c>
      <c r="AT34">
        <v>204.6</v>
      </c>
      <c r="AY34">
        <v>2.36</v>
      </c>
      <c r="AZ34" t="s">
        <v>185</v>
      </c>
      <c r="BB34" t="s">
        <v>185</v>
      </c>
      <c r="BD34" t="s">
        <v>68</v>
      </c>
      <c r="BE34" t="s">
        <v>206</v>
      </c>
      <c r="BF34" t="s">
        <v>207</v>
      </c>
      <c r="BG34" t="s">
        <v>208</v>
      </c>
      <c r="BH34">
        <v>0</v>
      </c>
      <c r="BI34">
        <v>0</v>
      </c>
      <c r="BJ34">
        <v>1</v>
      </c>
      <c r="BK34" t="s">
        <v>209</v>
      </c>
      <c r="BL34">
        <v>8.8620000000000001</v>
      </c>
      <c r="BM34">
        <v>8.8620000000000001</v>
      </c>
      <c r="BN34" t="s">
        <v>184</v>
      </c>
      <c r="BO34" s="1">
        <v>0.29989583333333331</v>
      </c>
      <c r="BP34" s="3">
        <f t="shared" si="4"/>
        <v>1.0119363973453877</v>
      </c>
      <c r="BQ34" s="3">
        <f t="shared" si="5"/>
        <v>0.97564177783440009</v>
      </c>
    </row>
    <row r="35" spans="1:69" hidden="1" x14ac:dyDescent="0.35">
      <c r="A35">
        <v>33</v>
      </c>
      <c r="B35">
        <v>4479</v>
      </c>
      <c r="D35">
        <v>7</v>
      </c>
      <c r="E35">
        <v>1</v>
      </c>
      <c r="G35">
        <v>16255.6</v>
      </c>
      <c r="I35" t="s">
        <v>182</v>
      </c>
      <c r="L35" t="s">
        <v>183</v>
      </c>
      <c r="M35">
        <v>8.84</v>
      </c>
      <c r="N35">
        <v>38.090000000000003</v>
      </c>
      <c r="O35">
        <v>8.26</v>
      </c>
      <c r="P35" s="3">
        <f t="shared" si="0"/>
        <v>0.93438914027149322</v>
      </c>
      <c r="Q35">
        <v>31.48</v>
      </c>
      <c r="R35" s="3">
        <f t="shared" si="1"/>
        <v>0.82646363875032813</v>
      </c>
      <c r="S35">
        <v>260</v>
      </c>
      <c r="T35">
        <v>9.109</v>
      </c>
      <c r="U35">
        <v>37.96</v>
      </c>
      <c r="V35">
        <v>8.6630000000000003</v>
      </c>
      <c r="W35" s="3">
        <f t="shared" si="2"/>
        <v>0.95103743550334841</v>
      </c>
      <c r="X35">
        <v>30.69</v>
      </c>
      <c r="Y35" s="3">
        <f t="shared" si="3"/>
        <v>0.80848261327713389</v>
      </c>
      <c r="Z35">
        <v>265.89999999999998</v>
      </c>
      <c r="AA35">
        <v>76.900000000000006</v>
      </c>
      <c r="AB35">
        <v>24.9</v>
      </c>
      <c r="AC35" t="s">
        <v>64</v>
      </c>
      <c r="AE35" t="s">
        <v>65</v>
      </c>
      <c r="AF35" t="s">
        <v>66</v>
      </c>
      <c r="AG35" t="s">
        <v>184</v>
      </c>
      <c r="AH35" s="1">
        <v>0.30621527777777779</v>
      </c>
      <c r="AI35" t="s">
        <v>68</v>
      </c>
      <c r="AJ35" t="s">
        <v>69</v>
      </c>
      <c r="AO35">
        <v>7.298</v>
      </c>
      <c r="AP35">
        <v>39.628</v>
      </c>
      <c r="AQ35">
        <v>51.2</v>
      </c>
      <c r="AR35">
        <v>1.82</v>
      </c>
      <c r="AS35">
        <v>35.536999999999999</v>
      </c>
      <c r="AT35">
        <v>204.6</v>
      </c>
      <c r="AY35">
        <v>2.36</v>
      </c>
      <c r="AZ35" t="s">
        <v>185</v>
      </c>
      <c r="BB35" t="s">
        <v>185</v>
      </c>
      <c r="BD35" t="s">
        <v>68</v>
      </c>
      <c r="BE35" t="s">
        <v>210</v>
      </c>
      <c r="BF35" t="s">
        <v>211</v>
      </c>
      <c r="BG35" t="s">
        <v>212</v>
      </c>
      <c r="BH35">
        <v>0</v>
      </c>
      <c r="BI35">
        <v>0</v>
      </c>
      <c r="BJ35">
        <v>1</v>
      </c>
      <c r="BK35" t="s">
        <v>213</v>
      </c>
      <c r="BL35">
        <v>8.8620000000000001</v>
      </c>
      <c r="BM35">
        <v>8.8620000000000001</v>
      </c>
      <c r="BN35" t="s">
        <v>184</v>
      </c>
      <c r="BO35" s="1">
        <v>0.30621527777777779</v>
      </c>
      <c r="BP35" s="3">
        <f t="shared" si="4"/>
        <v>1.0178173038558838</v>
      </c>
      <c r="BQ35" s="3">
        <f t="shared" si="5"/>
        <v>0.97824341612852705</v>
      </c>
    </row>
    <row r="36" spans="1:69" hidden="1" x14ac:dyDescent="0.35">
      <c r="A36">
        <v>34</v>
      </c>
      <c r="B36">
        <v>4480</v>
      </c>
      <c r="D36">
        <v>7</v>
      </c>
      <c r="E36">
        <v>1</v>
      </c>
      <c r="G36">
        <v>16255.6</v>
      </c>
      <c r="I36" t="s">
        <v>182</v>
      </c>
      <c r="L36" t="s">
        <v>183</v>
      </c>
      <c r="M36">
        <v>8.84</v>
      </c>
      <c r="N36">
        <v>38.090000000000003</v>
      </c>
      <c r="O36">
        <v>8.26</v>
      </c>
      <c r="P36" s="3">
        <f t="shared" si="0"/>
        <v>0.93438914027149322</v>
      </c>
      <c r="Q36">
        <v>31.48</v>
      </c>
      <c r="R36" s="3">
        <f t="shared" si="1"/>
        <v>0.82646363875032813</v>
      </c>
      <c r="S36">
        <v>260</v>
      </c>
      <c r="T36">
        <v>9.11</v>
      </c>
      <c r="U36">
        <v>37.950000000000003</v>
      </c>
      <c r="V36">
        <v>8.66</v>
      </c>
      <c r="W36" s="3">
        <f t="shared" si="2"/>
        <v>0.95060373216245886</v>
      </c>
      <c r="X36">
        <v>30.71</v>
      </c>
      <c r="Y36" s="3">
        <f t="shared" si="3"/>
        <v>0.80922266139657439</v>
      </c>
      <c r="Z36">
        <v>265.89999999999998</v>
      </c>
      <c r="AA36">
        <v>76.900000000000006</v>
      </c>
      <c r="AB36">
        <v>24.9</v>
      </c>
      <c r="AC36" t="s">
        <v>64</v>
      </c>
      <c r="AE36" t="s">
        <v>65</v>
      </c>
      <c r="AF36" t="s">
        <v>66</v>
      </c>
      <c r="AG36" t="s">
        <v>184</v>
      </c>
      <c r="AH36" s="1">
        <v>0.30782407407407408</v>
      </c>
      <c r="AI36" t="s">
        <v>68</v>
      </c>
      <c r="AJ36" t="s">
        <v>69</v>
      </c>
      <c r="AO36">
        <v>7.298</v>
      </c>
      <c r="AP36">
        <v>39.590000000000003</v>
      </c>
      <c r="AQ36">
        <v>51.2</v>
      </c>
      <c r="AR36">
        <v>1.835</v>
      </c>
      <c r="AS36">
        <v>35.462000000000003</v>
      </c>
      <c r="AT36">
        <v>204.6</v>
      </c>
      <c r="AY36">
        <v>2.36</v>
      </c>
      <c r="AZ36" t="s">
        <v>185</v>
      </c>
      <c r="BB36" t="s">
        <v>185</v>
      </c>
      <c r="BD36" t="s">
        <v>68</v>
      </c>
      <c r="BE36" t="s">
        <v>214</v>
      </c>
      <c r="BF36" t="s">
        <v>215</v>
      </c>
      <c r="BG36" t="s">
        <v>216</v>
      </c>
      <c r="BH36">
        <v>0</v>
      </c>
      <c r="BI36">
        <v>0</v>
      </c>
      <c r="BJ36">
        <v>1</v>
      </c>
      <c r="BK36" t="s">
        <v>217</v>
      </c>
      <c r="BL36">
        <v>8.8620000000000001</v>
      </c>
      <c r="BM36">
        <v>8.8620000000000001</v>
      </c>
      <c r="BN36" t="s">
        <v>184</v>
      </c>
      <c r="BO36" s="1">
        <v>0.30782407407407408</v>
      </c>
      <c r="BP36" s="3">
        <f t="shared" si="4"/>
        <v>1.0173531467695081</v>
      </c>
      <c r="BQ36" s="3">
        <f t="shared" si="5"/>
        <v>0.97913885554623636</v>
      </c>
    </row>
    <row r="37" spans="1:69" hidden="1" x14ac:dyDescent="0.35">
      <c r="A37">
        <v>35</v>
      </c>
      <c r="B37">
        <v>4475</v>
      </c>
      <c r="D37">
        <v>7</v>
      </c>
      <c r="E37">
        <v>1</v>
      </c>
      <c r="G37">
        <v>16255.6</v>
      </c>
      <c r="I37" t="s">
        <v>182</v>
      </c>
      <c r="L37" t="s">
        <v>183</v>
      </c>
      <c r="M37">
        <v>8.84</v>
      </c>
      <c r="N37">
        <v>38.090000000000003</v>
      </c>
      <c r="O37">
        <v>8.26</v>
      </c>
      <c r="P37" s="3">
        <f t="shared" si="0"/>
        <v>0.93438914027149322</v>
      </c>
      <c r="Q37">
        <v>31.48</v>
      </c>
      <c r="R37" s="3">
        <f t="shared" si="1"/>
        <v>0.82646363875032813</v>
      </c>
      <c r="S37">
        <v>260</v>
      </c>
      <c r="T37">
        <v>9.0860000000000003</v>
      </c>
      <c r="U37">
        <v>37.86</v>
      </c>
      <c r="V37">
        <v>8.6389999999999993</v>
      </c>
      <c r="W37" s="3">
        <f t="shared" si="2"/>
        <v>0.95080343385428123</v>
      </c>
      <c r="X37">
        <v>30.48</v>
      </c>
      <c r="Y37" s="3">
        <f t="shared" si="3"/>
        <v>0.80507131537242471</v>
      </c>
      <c r="Z37">
        <v>263.3</v>
      </c>
      <c r="AA37">
        <v>76.5</v>
      </c>
      <c r="AB37">
        <v>24.9</v>
      </c>
      <c r="AC37" t="s">
        <v>64</v>
      </c>
      <c r="AE37" t="s">
        <v>65</v>
      </c>
      <c r="AF37" t="s">
        <v>66</v>
      </c>
      <c r="AG37" t="s">
        <v>184</v>
      </c>
      <c r="AH37" s="1">
        <v>0.29824074074074075</v>
      </c>
      <c r="AI37" t="s">
        <v>68</v>
      </c>
      <c r="AJ37" t="s">
        <v>69</v>
      </c>
      <c r="AO37">
        <v>7.2729999999999997</v>
      </c>
      <c r="AP37">
        <v>39.590000000000003</v>
      </c>
      <c r="AQ37">
        <v>51.2</v>
      </c>
      <c r="AR37">
        <v>1.82</v>
      </c>
      <c r="AS37">
        <v>35.341000000000001</v>
      </c>
      <c r="AT37">
        <v>204.6</v>
      </c>
      <c r="AY37">
        <v>2.36</v>
      </c>
      <c r="AZ37" t="s">
        <v>185</v>
      </c>
      <c r="BB37" t="s">
        <v>185</v>
      </c>
      <c r="BD37" t="s">
        <v>68</v>
      </c>
      <c r="BE37" t="s">
        <v>218</v>
      </c>
      <c r="BF37" t="s">
        <v>219</v>
      </c>
      <c r="BG37" t="s">
        <v>220</v>
      </c>
      <c r="BH37">
        <v>0</v>
      </c>
      <c r="BI37">
        <v>0</v>
      </c>
      <c r="BJ37">
        <v>1</v>
      </c>
      <c r="BK37" t="s">
        <v>221</v>
      </c>
      <c r="BL37">
        <v>8.8620000000000001</v>
      </c>
      <c r="BM37">
        <v>8.8620000000000001</v>
      </c>
      <c r="BN37" t="s">
        <v>184</v>
      </c>
      <c r="BO37" s="1">
        <v>0.29824074074074075</v>
      </c>
      <c r="BP37" s="3">
        <f t="shared" si="4"/>
        <v>1.0175668710982864</v>
      </c>
      <c r="BQ37" s="3">
        <f t="shared" si="5"/>
        <v>0.9741158323550082</v>
      </c>
    </row>
    <row r="38" spans="1:69" hidden="1" x14ac:dyDescent="0.35">
      <c r="A38">
        <v>36</v>
      </c>
      <c r="B38">
        <v>3602</v>
      </c>
      <c r="D38">
        <v>24</v>
      </c>
      <c r="E38">
        <v>4</v>
      </c>
      <c r="G38">
        <v>16678.8</v>
      </c>
      <c r="I38" t="s">
        <v>62</v>
      </c>
      <c r="L38" t="s">
        <v>183</v>
      </c>
      <c r="M38">
        <v>12.2</v>
      </c>
      <c r="N38">
        <v>40.200000000000003</v>
      </c>
      <c r="O38">
        <v>11.6</v>
      </c>
      <c r="P38" s="3">
        <f t="shared" si="0"/>
        <v>0.9508196721311476</v>
      </c>
      <c r="Q38">
        <v>32.4</v>
      </c>
      <c r="R38" s="3">
        <f t="shared" si="1"/>
        <v>0.80597014925373123</v>
      </c>
      <c r="S38">
        <v>295</v>
      </c>
      <c r="T38">
        <v>9.6419999999999995</v>
      </c>
      <c r="U38">
        <v>40.42</v>
      </c>
      <c r="V38">
        <v>9.1679999999999993</v>
      </c>
      <c r="W38" s="3">
        <f t="shared" si="2"/>
        <v>0.95084007467330423</v>
      </c>
      <c r="X38">
        <v>32.69</v>
      </c>
      <c r="Y38" s="3">
        <f t="shared" si="3"/>
        <v>0.80875804057397316</v>
      </c>
      <c r="Z38">
        <v>299.8</v>
      </c>
      <c r="AA38">
        <v>76.900000000000006</v>
      </c>
      <c r="AB38">
        <v>24.1</v>
      </c>
      <c r="AC38" t="s">
        <v>64</v>
      </c>
      <c r="AE38" t="s">
        <v>65</v>
      </c>
      <c r="AF38" t="s">
        <v>66</v>
      </c>
      <c r="AG38" s="2">
        <v>42952</v>
      </c>
      <c r="AH38" s="1">
        <v>0.42831018518518521</v>
      </c>
      <c r="AI38" t="s">
        <v>68</v>
      </c>
      <c r="AJ38" t="s">
        <v>69</v>
      </c>
      <c r="AO38">
        <v>7.2030000000000003</v>
      </c>
      <c r="AP38">
        <v>42.142000000000003</v>
      </c>
      <c r="AQ38">
        <v>57.6</v>
      </c>
      <c r="AY38">
        <v>2.36</v>
      </c>
      <c r="AZ38" t="s">
        <v>222</v>
      </c>
      <c r="BD38" t="s">
        <v>68</v>
      </c>
      <c r="BE38" t="s">
        <v>223</v>
      </c>
      <c r="BG38" t="s">
        <v>224</v>
      </c>
      <c r="BH38">
        <v>0</v>
      </c>
      <c r="BI38">
        <v>1</v>
      </c>
      <c r="BJ38">
        <v>2</v>
      </c>
      <c r="BK38" t="s">
        <v>225</v>
      </c>
      <c r="BL38">
        <v>9.0256000000000007</v>
      </c>
      <c r="BM38">
        <v>9.0256000000000007</v>
      </c>
      <c r="BN38" s="2">
        <v>42952</v>
      </c>
      <c r="BO38" s="1">
        <v>0.42831018518518521</v>
      </c>
      <c r="BP38" s="3">
        <f t="shared" si="4"/>
        <v>1.0000214578460613</v>
      </c>
      <c r="BQ38" s="3">
        <f t="shared" si="5"/>
        <v>1.0034590503417817</v>
      </c>
    </row>
    <row r="39" spans="1:69" hidden="1" x14ac:dyDescent="0.35">
      <c r="A39">
        <v>37</v>
      </c>
      <c r="B39">
        <v>3602</v>
      </c>
      <c r="D39">
        <v>24</v>
      </c>
      <c r="E39">
        <v>4</v>
      </c>
      <c r="G39">
        <v>16698.5</v>
      </c>
      <c r="I39" t="s">
        <v>62</v>
      </c>
      <c r="L39" t="s">
        <v>226</v>
      </c>
      <c r="M39">
        <v>12.2</v>
      </c>
      <c r="N39">
        <v>40.200000000000003</v>
      </c>
      <c r="O39">
        <v>11.6</v>
      </c>
      <c r="P39" s="3">
        <f t="shared" si="0"/>
        <v>0.9508196721311476</v>
      </c>
      <c r="Q39">
        <v>32.4</v>
      </c>
      <c r="R39" s="3">
        <f t="shared" si="1"/>
        <v>0.80597014925373123</v>
      </c>
      <c r="S39">
        <v>295</v>
      </c>
      <c r="T39">
        <v>9.4629999999999992</v>
      </c>
      <c r="U39">
        <v>40.19</v>
      </c>
      <c r="V39">
        <v>8.9670000000000005</v>
      </c>
      <c r="W39" s="3">
        <f t="shared" si="2"/>
        <v>0.94758533234703601</v>
      </c>
      <c r="X39">
        <v>32.53</v>
      </c>
      <c r="Y39" s="3">
        <f t="shared" si="3"/>
        <v>0.80940532470763882</v>
      </c>
      <c r="Z39">
        <v>291.7</v>
      </c>
      <c r="AA39">
        <v>76.7</v>
      </c>
      <c r="AB39">
        <v>25</v>
      </c>
      <c r="AC39" t="s">
        <v>64</v>
      </c>
      <c r="AE39" t="s">
        <v>65</v>
      </c>
      <c r="AF39" t="s">
        <v>66</v>
      </c>
      <c r="AG39" s="2">
        <v>44532</v>
      </c>
      <c r="AH39" s="1">
        <v>0.55667824074074079</v>
      </c>
      <c r="AI39" t="s">
        <v>68</v>
      </c>
      <c r="AJ39" t="s">
        <v>69</v>
      </c>
      <c r="AO39">
        <v>7.7</v>
      </c>
      <c r="AP39">
        <v>42.4</v>
      </c>
      <c r="AQ39">
        <v>6.4</v>
      </c>
      <c r="AR39">
        <v>1.9</v>
      </c>
      <c r="AS39">
        <v>38.200000000000003</v>
      </c>
      <c r="AT39">
        <v>25.6</v>
      </c>
      <c r="AY39">
        <v>2.36</v>
      </c>
      <c r="AZ39" t="s">
        <v>227</v>
      </c>
      <c r="BB39" t="s">
        <v>227</v>
      </c>
      <c r="BD39" t="s">
        <v>68</v>
      </c>
      <c r="BE39" t="s">
        <v>228</v>
      </c>
      <c r="BF39" t="s">
        <v>229</v>
      </c>
      <c r="BG39" t="s">
        <v>230</v>
      </c>
      <c r="BH39">
        <v>0</v>
      </c>
      <c r="BI39">
        <v>0</v>
      </c>
      <c r="BJ39">
        <v>2</v>
      </c>
      <c r="BK39" t="s">
        <v>231</v>
      </c>
      <c r="BL39">
        <v>8.8620000000000001</v>
      </c>
      <c r="BM39">
        <v>9.0256000000000007</v>
      </c>
      <c r="BN39" s="2">
        <v>42952</v>
      </c>
      <c r="BO39" s="1">
        <v>0.42831018518518521</v>
      </c>
      <c r="BP39" s="3">
        <f t="shared" si="4"/>
        <v>0.99659836677877922</v>
      </c>
      <c r="BQ39" s="3">
        <f t="shared" si="5"/>
        <v>1.0042621621372556</v>
      </c>
    </row>
    <row r="40" spans="1:69" hidden="1" x14ac:dyDescent="0.35">
      <c r="A40">
        <v>38</v>
      </c>
      <c r="B40">
        <v>3611</v>
      </c>
      <c r="D40">
        <v>24</v>
      </c>
      <c r="E40">
        <v>4</v>
      </c>
      <c r="G40">
        <v>16678.8</v>
      </c>
      <c r="I40" t="s">
        <v>62</v>
      </c>
      <c r="L40" t="s">
        <v>183</v>
      </c>
      <c r="M40">
        <v>12.2</v>
      </c>
      <c r="N40">
        <v>40.200000000000003</v>
      </c>
      <c r="O40">
        <v>11.6</v>
      </c>
      <c r="P40" s="3">
        <f t="shared" si="0"/>
        <v>0.9508196721311476</v>
      </c>
      <c r="Q40">
        <v>32.4</v>
      </c>
      <c r="R40" s="3">
        <f t="shared" si="1"/>
        <v>0.80597014925373123</v>
      </c>
      <c r="S40">
        <v>295</v>
      </c>
      <c r="T40">
        <v>9.6479999999999997</v>
      </c>
      <c r="U40">
        <v>40.56</v>
      </c>
      <c r="V40">
        <v>9.1790000000000003</v>
      </c>
      <c r="W40" s="3">
        <f t="shared" si="2"/>
        <v>0.95138888888888895</v>
      </c>
      <c r="X40">
        <v>32.79</v>
      </c>
      <c r="Y40" s="3">
        <f t="shared" si="3"/>
        <v>0.80843195266272183</v>
      </c>
      <c r="Z40">
        <v>301</v>
      </c>
      <c r="AA40">
        <v>76.900000000000006</v>
      </c>
      <c r="AB40">
        <v>24.5</v>
      </c>
      <c r="AC40" t="s">
        <v>64</v>
      </c>
      <c r="AE40" t="s">
        <v>65</v>
      </c>
      <c r="AF40" t="s">
        <v>66</v>
      </c>
      <c r="AG40" s="2">
        <v>42952</v>
      </c>
      <c r="AH40" s="1">
        <v>0.53789351851851852</v>
      </c>
      <c r="AI40" t="s">
        <v>68</v>
      </c>
      <c r="AJ40" t="s">
        <v>69</v>
      </c>
      <c r="AO40">
        <v>7.7229999999999999</v>
      </c>
      <c r="AP40">
        <v>42.442</v>
      </c>
      <c r="AQ40">
        <v>38.4</v>
      </c>
      <c r="AY40">
        <v>2.36</v>
      </c>
      <c r="AZ40" t="s">
        <v>222</v>
      </c>
      <c r="BD40" t="s">
        <v>68</v>
      </c>
      <c r="BE40" t="s">
        <v>232</v>
      </c>
      <c r="BG40" t="s">
        <v>233</v>
      </c>
      <c r="BH40">
        <v>0</v>
      </c>
      <c r="BI40">
        <v>1</v>
      </c>
      <c r="BJ40">
        <v>2</v>
      </c>
      <c r="BK40" t="s">
        <v>234</v>
      </c>
      <c r="BL40">
        <v>9.0256000000000007</v>
      </c>
      <c r="BM40">
        <v>9.0256000000000007</v>
      </c>
      <c r="BN40" s="2">
        <v>42952</v>
      </c>
      <c r="BO40" s="1">
        <v>0.53789351851851852</v>
      </c>
      <c r="BP40" s="3">
        <f t="shared" si="4"/>
        <v>1.0005986590038314</v>
      </c>
      <c r="BQ40" s="3">
        <f t="shared" si="5"/>
        <v>1.0030544597852291</v>
      </c>
    </row>
    <row r="41" spans="1:69" hidden="1" x14ac:dyDescent="0.35">
      <c r="A41">
        <v>39</v>
      </c>
      <c r="B41">
        <v>3611</v>
      </c>
      <c r="D41">
        <v>24</v>
      </c>
      <c r="E41">
        <v>4</v>
      </c>
      <c r="G41">
        <v>16698.5</v>
      </c>
      <c r="I41" t="s">
        <v>62</v>
      </c>
      <c r="L41" t="s">
        <v>226</v>
      </c>
      <c r="M41">
        <v>12.2</v>
      </c>
      <c r="N41">
        <v>40.200000000000003</v>
      </c>
      <c r="O41">
        <v>11.6</v>
      </c>
      <c r="P41" s="3">
        <f t="shared" si="0"/>
        <v>0.9508196721311476</v>
      </c>
      <c r="Q41">
        <v>32.4</v>
      </c>
      <c r="R41" s="3">
        <f t="shared" si="1"/>
        <v>0.80597014925373123</v>
      </c>
      <c r="S41">
        <v>295</v>
      </c>
      <c r="T41">
        <v>9.44</v>
      </c>
      <c r="U41">
        <v>40.26</v>
      </c>
      <c r="V41">
        <v>8.9779999999999998</v>
      </c>
      <c r="W41" s="3">
        <f t="shared" si="2"/>
        <v>0.95105932203389831</v>
      </c>
      <c r="X41">
        <v>32.479999999999997</v>
      </c>
      <c r="Y41" s="3">
        <f t="shared" si="3"/>
        <v>0.80675608544460997</v>
      </c>
      <c r="Z41">
        <v>291.60000000000002</v>
      </c>
      <c r="AA41">
        <v>76.7</v>
      </c>
      <c r="AB41">
        <v>25.3</v>
      </c>
      <c r="AC41" t="s">
        <v>64</v>
      </c>
      <c r="AE41" t="s">
        <v>65</v>
      </c>
      <c r="AF41" t="s">
        <v>66</v>
      </c>
      <c r="AG41" s="2">
        <v>44532</v>
      </c>
      <c r="AH41" s="1">
        <v>0.53079861111111115</v>
      </c>
      <c r="AI41" t="s">
        <v>68</v>
      </c>
      <c r="AJ41" t="s">
        <v>69</v>
      </c>
      <c r="AO41">
        <v>7.7</v>
      </c>
      <c r="AP41">
        <v>42.4</v>
      </c>
      <c r="AQ41">
        <v>6.4</v>
      </c>
      <c r="AR41">
        <v>1.9</v>
      </c>
      <c r="AS41">
        <v>38.299999999999997</v>
      </c>
      <c r="AT41">
        <v>25.6</v>
      </c>
      <c r="AY41">
        <v>2.36</v>
      </c>
      <c r="AZ41" t="s">
        <v>227</v>
      </c>
      <c r="BB41" t="s">
        <v>227</v>
      </c>
      <c r="BD41" t="s">
        <v>68</v>
      </c>
      <c r="BE41" t="s">
        <v>235</v>
      </c>
      <c r="BF41" t="s">
        <v>236</v>
      </c>
      <c r="BG41" t="s">
        <v>237</v>
      </c>
      <c r="BH41">
        <v>0</v>
      </c>
      <c r="BI41">
        <v>0</v>
      </c>
      <c r="BJ41">
        <v>2</v>
      </c>
      <c r="BK41" t="s">
        <v>238</v>
      </c>
      <c r="BL41">
        <v>8.8620000000000001</v>
      </c>
      <c r="BM41">
        <v>9.0256000000000007</v>
      </c>
      <c r="BN41" s="2">
        <v>42952</v>
      </c>
      <c r="BO41" s="1">
        <v>0.53789351851851852</v>
      </c>
      <c r="BP41" s="3">
        <f t="shared" si="4"/>
        <v>1.0002520455873758</v>
      </c>
      <c r="BQ41" s="3">
        <f t="shared" si="5"/>
        <v>1.0009751430516458</v>
      </c>
    </row>
    <row r="42" spans="1:69" hidden="1" x14ac:dyDescent="0.35">
      <c r="A42">
        <v>40</v>
      </c>
      <c r="B42">
        <v>3610</v>
      </c>
      <c r="D42">
        <v>24</v>
      </c>
      <c r="E42">
        <v>4</v>
      </c>
      <c r="G42">
        <v>16698.5</v>
      </c>
      <c r="I42" t="s">
        <v>62</v>
      </c>
      <c r="L42" t="s">
        <v>226</v>
      </c>
      <c r="M42">
        <v>12.2</v>
      </c>
      <c r="N42">
        <v>40.200000000000003</v>
      </c>
      <c r="O42">
        <v>11.6</v>
      </c>
      <c r="P42" s="3">
        <f t="shared" si="0"/>
        <v>0.9508196721311476</v>
      </c>
      <c r="Q42">
        <v>32.4</v>
      </c>
      <c r="R42" s="3">
        <f t="shared" si="1"/>
        <v>0.80597014925373123</v>
      </c>
      <c r="S42">
        <v>295</v>
      </c>
      <c r="T42">
        <v>9.4700000000000006</v>
      </c>
      <c r="U42">
        <v>39.979999999999997</v>
      </c>
      <c r="V42">
        <v>8.9659999999999993</v>
      </c>
      <c r="W42" s="3">
        <f t="shared" si="2"/>
        <v>0.94677930306230185</v>
      </c>
      <c r="X42">
        <v>32.18</v>
      </c>
      <c r="Y42" s="3">
        <f t="shared" si="3"/>
        <v>0.80490245122561288</v>
      </c>
      <c r="Z42">
        <v>288.5</v>
      </c>
      <c r="AA42">
        <v>76.2</v>
      </c>
      <c r="AB42">
        <v>24.8</v>
      </c>
      <c r="AC42" t="s">
        <v>64</v>
      </c>
      <c r="AE42" t="s">
        <v>65</v>
      </c>
      <c r="AF42" t="s">
        <v>66</v>
      </c>
      <c r="AG42" s="2">
        <v>44532</v>
      </c>
      <c r="AH42" s="1">
        <v>0.53674768518518523</v>
      </c>
      <c r="AI42" t="s">
        <v>68</v>
      </c>
      <c r="AJ42" t="s">
        <v>69</v>
      </c>
      <c r="AO42">
        <v>7.7</v>
      </c>
      <c r="AP42">
        <v>42.2</v>
      </c>
      <c r="AQ42">
        <v>6.4</v>
      </c>
      <c r="AR42">
        <v>1.7</v>
      </c>
      <c r="AS42">
        <v>38.1</v>
      </c>
      <c r="AT42">
        <v>25.6</v>
      </c>
      <c r="AY42">
        <v>2.36</v>
      </c>
      <c r="AZ42" t="s">
        <v>227</v>
      </c>
      <c r="BB42" t="s">
        <v>227</v>
      </c>
      <c r="BD42" t="s">
        <v>68</v>
      </c>
      <c r="BE42" t="s">
        <v>239</v>
      </c>
      <c r="BF42" t="s">
        <v>240</v>
      </c>
      <c r="BG42" t="s">
        <v>241</v>
      </c>
      <c r="BH42">
        <v>0</v>
      </c>
      <c r="BI42">
        <v>0</v>
      </c>
      <c r="BJ42">
        <v>1</v>
      </c>
      <c r="BK42" t="s">
        <v>242</v>
      </c>
      <c r="BL42">
        <v>8.8620000000000001</v>
      </c>
      <c r="BM42">
        <v>9.0256000000000007</v>
      </c>
      <c r="BN42" s="2">
        <v>42952</v>
      </c>
      <c r="BO42" s="1">
        <v>0.52695601851851848</v>
      </c>
      <c r="BP42" s="3">
        <f t="shared" si="4"/>
        <v>0.99575064632414501</v>
      </c>
      <c r="BQ42" s="3">
        <f t="shared" si="5"/>
        <v>0.99867526355770497</v>
      </c>
    </row>
    <row r="43" spans="1:69" hidden="1" x14ac:dyDescent="0.35">
      <c r="A43">
        <v>41</v>
      </c>
      <c r="B43">
        <v>3608</v>
      </c>
      <c r="D43">
        <v>24</v>
      </c>
      <c r="E43">
        <v>4</v>
      </c>
      <c r="G43">
        <v>16698.5</v>
      </c>
      <c r="I43" t="s">
        <v>62</v>
      </c>
      <c r="L43" t="s">
        <v>226</v>
      </c>
      <c r="M43">
        <v>12.2</v>
      </c>
      <c r="N43">
        <v>40.200000000000003</v>
      </c>
      <c r="O43">
        <v>11.6</v>
      </c>
      <c r="P43" s="3">
        <f t="shared" si="0"/>
        <v>0.9508196721311476</v>
      </c>
      <c r="Q43">
        <v>32.4</v>
      </c>
      <c r="R43" s="3">
        <f t="shared" si="1"/>
        <v>0.80597014925373123</v>
      </c>
      <c r="S43">
        <v>295</v>
      </c>
      <c r="T43">
        <v>9.4190000000000005</v>
      </c>
      <c r="U43">
        <v>40.17</v>
      </c>
      <c r="V43">
        <v>8.9789999999999992</v>
      </c>
      <c r="W43" s="3">
        <f t="shared" si="2"/>
        <v>0.9532859114555684</v>
      </c>
      <c r="X43">
        <v>32.450000000000003</v>
      </c>
      <c r="Y43" s="3">
        <f t="shared" si="3"/>
        <v>0.80781677869056512</v>
      </c>
      <c r="Z43">
        <v>291.39999999999998</v>
      </c>
      <c r="AA43">
        <v>77</v>
      </c>
      <c r="AB43">
        <v>24.9</v>
      </c>
      <c r="AC43" t="s">
        <v>64</v>
      </c>
      <c r="AE43" t="s">
        <v>65</v>
      </c>
      <c r="AF43" t="s">
        <v>66</v>
      </c>
      <c r="AG43" s="2">
        <v>44532</v>
      </c>
      <c r="AH43" s="1">
        <v>0.53971064814814818</v>
      </c>
      <c r="AI43" t="s">
        <v>68</v>
      </c>
      <c r="AJ43" t="s">
        <v>69</v>
      </c>
      <c r="AO43">
        <v>7.7</v>
      </c>
      <c r="AP43">
        <v>42.2</v>
      </c>
      <c r="AQ43">
        <v>6.4</v>
      </c>
      <c r="AR43">
        <v>1.9</v>
      </c>
      <c r="AS43">
        <v>38.200000000000003</v>
      </c>
      <c r="AT43">
        <v>25.6</v>
      </c>
      <c r="AY43">
        <v>2.36</v>
      </c>
      <c r="AZ43" t="s">
        <v>227</v>
      </c>
      <c r="BB43" t="s">
        <v>227</v>
      </c>
      <c r="BD43" t="s">
        <v>68</v>
      </c>
      <c r="BE43" t="s">
        <v>243</v>
      </c>
      <c r="BF43" t="s">
        <v>244</v>
      </c>
      <c r="BG43" t="s">
        <v>245</v>
      </c>
      <c r="BH43">
        <v>0</v>
      </c>
      <c r="BI43">
        <v>0</v>
      </c>
      <c r="BJ43">
        <v>1</v>
      </c>
      <c r="BK43" t="s">
        <v>246</v>
      </c>
      <c r="BL43">
        <v>8.8620000000000001</v>
      </c>
      <c r="BM43">
        <v>9.0256000000000007</v>
      </c>
      <c r="BN43" s="2">
        <v>42952</v>
      </c>
      <c r="BO43" s="1">
        <v>0.50283564814814818</v>
      </c>
      <c r="BP43" s="3">
        <f t="shared" si="4"/>
        <v>1.002593803427408</v>
      </c>
      <c r="BQ43" s="3">
        <f t="shared" si="5"/>
        <v>1.0022911883753309</v>
      </c>
    </row>
    <row r="44" spans="1:69" hidden="1" x14ac:dyDescent="0.35">
      <c r="A44">
        <v>42</v>
      </c>
      <c r="B44">
        <v>3237</v>
      </c>
      <c r="D44">
        <v>24</v>
      </c>
      <c r="E44">
        <v>4</v>
      </c>
      <c r="G44">
        <v>16698.5</v>
      </c>
      <c r="I44" t="s">
        <v>62</v>
      </c>
      <c r="L44" t="s">
        <v>247</v>
      </c>
      <c r="M44">
        <v>12.2</v>
      </c>
      <c r="N44">
        <v>40.200000000000003</v>
      </c>
      <c r="O44">
        <v>11.6</v>
      </c>
      <c r="P44" s="3">
        <f t="shared" si="0"/>
        <v>0.9508196721311476</v>
      </c>
      <c r="Q44">
        <v>32.4</v>
      </c>
      <c r="R44" s="3">
        <f t="shared" si="1"/>
        <v>0.80597014925373123</v>
      </c>
      <c r="S44">
        <v>295</v>
      </c>
      <c r="T44">
        <v>9.4879999999999995</v>
      </c>
      <c r="U44">
        <v>40.299999999999997</v>
      </c>
      <c r="V44">
        <v>9.0109999999999992</v>
      </c>
      <c r="W44" s="3">
        <f t="shared" si="2"/>
        <v>0.94972596964586842</v>
      </c>
      <c r="X44">
        <v>32.5</v>
      </c>
      <c r="Y44" s="3">
        <f t="shared" si="3"/>
        <v>0.80645161290322587</v>
      </c>
      <c r="Z44">
        <v>292.8</v>
      </c>
      <c r="AA44">
        <v>76.599999999999994</v>
      </c>
      <c r="AB44">
        <v>25.3</v>
      </c>
      <c r="AC44" t="s">
        <v>64</v>
      </c>
      <c r="AE44" t="s">
        <v>65</v>
      </c>
      <c r="AF44" t="s">
        <v>66</v>
      </c>
      <c r="AG44" s="2">
        <v>44532</v>
      </c>
      <c r="AH44" s="1">
        <v>0.45637731481481481</v>
      </c>
      <c r="AI44" t="s">
        <v>68</v>
      </c>
      <c r="AJ44" t="s">
        <v>69</v>
      </c>
      <c r="AO44">
        <v>7.5979999999999999</v>
      </c>
      <c r="AP44">
        <v>42.142000000000003</v>
      </c>
      <c r="AQ44">
        <v>6.4</v>
      </c>
      <c r="AR44">
        <v>1.905</v>
      </c>
      <c r="AS44">
        <v>37.939</v>
      </c>
      <c r="AT44">
        <v>25.6</v>
      </c>
      <c r="AY44">
        <v>2.36</v>
      </c>
      <c r="AZ44" t="s">
        <v>227</v>
      </c>
      <c r="BB44" t="s">
        <v>227</v>
      </c>
      <c r="BD44" t="s">
        <v>68</v>
      </c>
      <c r="BE44" t="s">
        <v>248</v>
      </c>
      <c r="BF44" t="s">
        <v>249</v>
      </c>
      <c r="BG44" t="s">
        <v>250</v>
      </c>
      <c r="BH44">
        <v>0</v>
      </c>
      <c r="BI44">
        <v>0</v>
      </c>
      <c r="BJ44">
        <v>1</v>
      </c>
      <c r="BK44" t="s">
        <v>251</v>
      </c>
      <c r="BL44">
        <v>8.8620000000000001</v>
      </c>
      <c r="BM44">
        <v>8.8620000000000001</v>
      </c>
      <c r="BN44" t="s">
        <v>252</v>
      </c>
      <c r="BO44" s="1">
        <v>0.49401620370370369</v>
      </c>
      <c r="BP44" s="3">
        <f t="shared" si="4"/>
        <v>0.99884972669651673</v>
      </c>
      <c r="BQ44" s="3">
        <f t="shared" si="5"/>
        <v>1.0005973715651137</v>
      </c>
    </row>
    <row r="45" spans="1:69" hidden="1" x14ac:dyDescent="0.35">
      <c r="A45">
        <v>43</v>
      </c>
      <c r="B45">
        <v>3236</v>
      </c>
      <c r="D45">
        <v>24</v>
      </c>
      <c r="E45">
        <v>4</v>
      </c>
      <c r="G45">
        <v>16698.5</v>
      </c>
      <c r="I45" t="s">
        <v>62</v>
      </c>
      <c r="L45" t="s">
        <v>247</v>
      </c>
      <c r="M45">
        <v>12.2</v>
      </c>
      <c r="N45">
        <v>40.200000000000003</v>
      </c>
      <c r="O45">
        <v>11.6</v>
      </c>
      <c r="P45" s="3">
        <f t="shared" si="0"/>
        <v>0.9508196721311476</v>
      </c>
      <c r="Q45">
        <v>32.4</v>
      </c>
      <c r="R45" s="3">
        <f t="shared" si="1"/>
        <v>0.80597014925373123</v>
      </c>
      <c r="S45">
        <v>295</v>
      </c>
      <c r="T45">
        <v>9.4979999999999993</v>
      </c>
      <c r="U45">
        <v>40.29</v>
      </c>
      <c r="V45">
        <v>9.0139999999999993</v>
      </c>
      <c r="W45" s="3">
        <f t="shared" si="2"/>
        <v>0.94904190355864393</v>
      </c>
      <c r="X45">
        <v>32.46</v>
      </c>
      <c r="Y45" s="3">
        <f t="shared" si="3"/>
        <v>0.80565897244973939</v>
      </c>
      <c r="Z45">
        <v>292.60000000000002</v>
      </c>
      <c r="AA45">
        <v>76.5</v>
      </c>
      <c r="AB45">
        <v>25.2</v>
      </c>
      <c r="AC45" t="s">
        <v>64</v>
      </c>
      <c r="AE45" t="s">
        <v>65</v>
      </c>
      <c r="AF45" t="s">
        <v>66</v>
      </c>
      <c r="AG45" s="2">
        <v>44532</v>
      </c>
      <c r="AH45" s="1">
        <v>0.44844907407407408</v>
      </c>
      <c r="AI45" t="s">
        <v>68</v>
      </c>
      <c r="AJ45" t="s">
        <v>69</v>
      </c>
      <c r="AO45">
        <v>7.5979999999999999</v>
      </c>
      <c r="AP45">
        <v>41.991999999999997</v>
      </c>
      <c r="AQ45">
        <v>6.4</v>
      </c>
      <c r="AR45">
        <v>1.905</v>
      </c>
      <c r="AS45">
        <v>37.835999999999999</v>
      </c>
      <c r="AT45">
        <v>25.6</v>
      </c>
      <c r="AY45">
        <v>2.36</v>
      </c>
      <c r="AZ45" t="s">
        <v>227</v>
      </c>
      <c r="BB45" t="s">
        <v>227</v>
      </c>
      <c r="BD45" t="s">
        <v>68</v>
      </c>
      <c r="BE45" t="s">
        <v>253</v>
      </c>
      <c r="BF45" t="s">
        <v>254</v>
      </c>
      <c r="BG45" t="s">
        <v>255</v>
      </c>
      <c r="BH45">
        <v>0</v>
      </c>
      <c r="BI45">
        <v>0</v>
      </c>
      <c r="BJ45">
        <v>2</v>
      </c>
      <c r="BK45" t="s">
        <v>256</v>
      </c>
      <c r="BL45">
        <v>8.8620000000000001</v>
      </c>
      <c r="BM45">
        <v>8.8620000000000001</v>
      </c>
      <c r="BN45" t="s">
        <v>252</v>
      </c>
      <c r="BO45" s="1">
        <v>0.48635416666666664</v>
      </c>
      <c r="BP45" s="3">
        <f t="shared" si="4"/>
        <v>0.99813027788064268</v>
      </c>
      <c r="BQ45" s="3">
        <f t="shared" si="5"/>
        <v>0.99961391026171387</v>
      </c>
    </row>
    <row r="46" spans="1:69" hidden="1" x14ac:dyDescent="0.35">
      <c r="A46">
        <v>44</v>
      </c>
      <c r="B46">
        <v>3236</v>
      </c>
      <c r="D46">
        <v>24</v>
      </c>
      <c r="E46">
        <v>4</v>
      </c>
      <c r="G46">
        <v>16698.5</v>
      </c>
      <c r="I46" t="s">
        <v>62</v>
      </c>
      <c r="L46" t="s">
        <v>247</v>
      </c>
      <c r="M46">
        <v>12.2</v>
      </c>
      <c r="N46">
        <v>40.200000000000003</v>
      </c>
      <c r="O46">
        <v>11.6</v>
      </c>
      <c r="P46" s="3">
        <f t="shared" si="0"/>
        <v>0.9508196721311476</v>
      </c>
      <c r="Q46">
        <v>32.4</v>
      </c>
      <c r="R46" s="3">
        <f t="shared" si="1"/>
        <v>0.80597014925373123</v>
      </c>
      <c r="S46">
        <v>295</v>
      </c>
      <c r="T46">
        <v>9.4979999999999993</v>
      </c>
      <c r="U46">
        <v>40.29</v>
      </c>
      <c r="V46">
        <v>9.0139999999999993</v>
      </c>
      <c r="W46" s="3">
        <f t="shared" si="2"/>
        <v>0.94904190355864393</v>
      </c>
      <c r="X46">
        <v>32.46</v>
      </c>
      <c r="Y46" s="3">
        <f t="shared" si="3"/>
        <v>0.80565897244973939</v>
      </c>
      <c r="Z46">
        <v>292.60000000000002</v>
      </c>
      <c r="AA46">
        <v>76.5</v>
      </c>
      <c r="AB46">
        <v>25.2</v>
      </c>
      <c r="AC46" t="s">
        <v>64</v>
      </c>
      <c r="AE46" t="s">
        <v>65</v>
      </c>
      <c r="AF46" t="s">
        <v>66</v>
      </c>
      <c r="AG46" s="2">
        <v>44532</v>
      </c>
      <c r="AH46" s="1">
        <v>0.44844907407407408</v>
      </c>
      <c r="AI46" t="s">
        <v>68</v>
      </c>
      <c r="AJ46" t="s">
        <v>69</v>
      </c>
      <c r="AR46">
        <v>1.905</v>
      </c>
      <c r="AS46">
        <v>37.835999999999999</v>
      </c>
      <c r="AT46">
        <v>25.6</v>
      </c>
      <c r="AY46">
        <v>2.36</v>
      </c>
      <c r="AZ46" t="s">
        <v>257</v>
      </c>
      <c r="BB46" t="s">
        <v>257</v>
      </c>
      <c r="BD46" t="s">
        <v>68</v>
      </c>
      <c r="BF46" t="s">
        <v>258</v>
      </c>
      <c r="BG46" t="s">
        <v>255</v>
      </c>
      <c r="BH46">
        <v>0</v>
      </c>
      <c r="BI46">
        <v>1</v>
      </c>
      <c r="BJ46">
        <v>2</v>
      </c>
      <c r="BK46" t="s">
        <v>256</v>
      </c>
      <c r="BL46">
        <v>8.8620000000000001</v>
      </c>
      <c r="BM46">
        <v>8.8620000000000001</v>
      </c>
      <c r="BN46" t="s">
        <v>252</v>
      </c>
      <c r="BO46" s="1">
        <v>0.48635416666666664</v>
      </c>
      <c r="BP46" s="3">
        <f t="shared" si="4"/>
        <v>0.99813027788064268</v>
      </c>
      <c r="BQ46" s="3">
        <f t="shared" si="5"/>
        <v>0.99961391026171387</v>
      </c>
    </row>
    <row r="47" spans="1:69" hidden="1" x14ac:dyDescent="0.35">
      <c r="A47">
        <v>45</v>
      </c>
      <c r="B47">
        <v>3609</v>
      </c>
      <c r="D47">
        <v>24</v>
      </c>
      <c r="E47">
        <v>4</v>
      </c>
      <c r="G47">
        <v>16698.5</v>
      </c>
      <c r="I47" t="s">
        <v>62</v>
      </c>
      <c r="L47" t="s">
        <v>226</v>
      </c>
      <c r="M47">
        <v>12.2</v>
      </c>
      <c r="N47">
        <v>40.200000000000003</v>
      </c>
      <c r="O47">
        <v>11.6</v>
      </c>
      <c r="P47" s="3">
        <f t="shared" si="0"/>
        <v>0.9508196721311476</v>
      </c>
      <c r="Q47">
        <v>32.4</v>
      </c>
      <c r="R47" s="3">
        <f t="shared" si="1"/>
        <v>0.80597014925373123</v>
      </c>
      <c r="S47">
        <v>295</v>
      </c>
      <c r="T47">
        <v>9.4309999999999992</v>
      </c>
      <c r="U47">
        <v>40.28</v>
      </c>
      <c r="V47">
        <v>8.99</v>
      </c>
      <c r="W47" s="3">
        <f t="shared" si="2"/>
        <v>0.95323931714558385</v>
      </c>
      <c r="X47">
        <v>32.56</v>
      </c>
      <c r="Y47" s="3">
        <f t="shared" si="3"/>
        <v>0.80834160873882821</v>
      </c>
      <c r="Z47">
        <v>292.7</v>
      </c>
      <c r="AA47">
        <v>77.099999999999994</v>
      </c>
      <c r="AB47">
        <v>25.2</v>
      </c>
      <c r="AC47" t="s">
        <v>64</v>
      </c>
      <c r="AE47" t="s">
        <v>65</v>
      </c>
      <c r="AF47" t="s">
        <v>66</v>
      </c>
      <c r="AG47" s="2">
        <v>44532</v>
      </c>
      <c r="AH47" s="1">
        <v>0.5274537037037037</v>
      </c>
      <c r="AI47" t="s">
        <v>68</v>
      </c>
      <c r="AJ47" t="s">
        <v>69</v>
      </c>
      <c r="AO47">
        <v>7.7</v>
      </c>
      <c r="AP47">
        <v>42.5</v>
      </c>
      <c r="AQ47">
        <v>6.4</v>
      </c>
      <c r="AR47">
        <v>1.9</v>
      </c>
      <c r="AS47">
        <v>38.299999999999997</v>
      </c>
      <c r="AT47">
        <v>25.6</v>
      </c>
      <c r="AY47">
        <v>2.36</v>
      </c>
      <c r="AZ47" t="s">
        <v>227</v>
      </c>
      <c r="BB47" t="s">
        <v>227</v>
      </c>
      <c r="BD47" t="s">
        <v>68</v>
      </c>
      <c r="BE47" t="s">
        <v>259</v>
      </c>
      <c r="BF47" t="s">
        <v>260</v>
      </c>
      <c r="BG47" t="s">
        <v>261</v>
      </c>
      <c r="BH47">
        <v>0</v>
      </c>
      <c r="BI47">
        <v>0</v>
      </c>
      <c r="BJ47">
        <v>1</v>
      </c>
      <c r="BK47" t="s">
        <v>262</v>
      </c>
      <c r="BL47">
        <v>8.8620000000000001</v>
      </c>
      <c r="BM47">
        <v>9.0256000000000007</v>
      </c>
      <c r="BN47" s="2">
        <v>42952</v>
      </c>
      <c r="BO47" s="1">
        <v>0.51493055555555556</v>
      </c>
      <c r="BP47" s="3">
        <f t="shared" si="4"/>
        <v>1.0025447990669072</v>
      </c>
      <c r="BQ47" s="3">
        <f t="shared" si="5"/>
        <v>1.0029423663981758</v>
      </c>
    </row>
    <row r="48" spans="1:69" hidden="1" x14ac:dyDescent="0.35">
      <c r="A48">
        <v>46</v>
      </c>
      <c r="B48">
        <v>3603</v>
      </c>
      <c r="D48">
        <v>24</v>
      </c>
      <c r="E48">
        <v>4</v>
      </c>
      <c r="G48">
        <v>16698.5</v>
      </c>
      <c r="I48" t="s">
        <v>62</v>
      </c>
      <c r="L48" t="s">
        <v>226</v>
      </c>
      <c r="M48">
        <v>12.2</v>
      </c>
      <c r="N48">
        <v>40.200000000000003</v>
      </c>
      <c r="O48">
        <v>11.6</v>
      </c>
      <c r="P48" s="3">
        <f t="shared" si="0"/>
        <v>0.9508196721311476</v>
      </c>
      <c r="Q48">
        <v>32.4</v>
      </c>
      <c r="R48" s="3">
        <f t="shared" si="1"/>
        <v>0.80597014925373123</v>
      </c>
      <c r="S48">
        <v>295</v>
      </c>
      <c r="T48">
        <v>9.468</v>
      </c>
      <c r="U48">
        <v>40.090000000000003</v>
      </c>
      <c r="V48">
        <v>9.0039999999999996</v>
      </c>
      <c r="W48" s="3">
        <f t="shared" si="2"/>
        <v>0.95099281791296997</v>
      </c>
      <c r="X48">
        <v>32.36</v>
      </c>
      <c r="Y48" s="3">
        <f t="shared" si="3"/>
        <v>0.80718383636817148</v>
      </c>
      <c r="Z48">
        <v>291.39999999999998</v>
      </c>
      <c r="AA48">
        <v>76.8</v>
      </c>
      <c r="AB48">
        <v>25.3</v>
      </c>
      <c r="AC48" t="s">
        <v>64</v>
      </c>
      <c r="AE48" t="s">
        <v>65</v>
      </c>
      <c r="AF48" t="s">
        <v>66</v>
      </c>
      <c r="AG48" s="2">
        <v>44532</v>
      </c>
      <c r="AH48" s="1">
        <v>0.51578703703703699</v>
      </c>
      <c r="AI48" t="s">
        <v>68</v>
      </c>
      <c r="AJ48" t="s">
        <v>69</v>
      </c>
      <c r="AO48">
        <v>7.7</v>
      </c>
      <c r="AP48">
        <v>42.2</v>
      </c>
      <c r="AQ48">
        <v>6.4</v>
      </c>
      <c r="AR48">
        <v>1.9</v>
      </c>
      <c r="AS48">
        <v>38.1</v>
      </c>
      <c r="AT48">
        <v>25.6</v>
      </c>
      <c r="AY48">
        <v>2.36</v>
      </c>
      <c r="AZ48" t="s">
        <v>227</v>
      </c>
      <c r="BB48" t="s">
        <v>227</v>
      </c>
      <c r="BD48" t="s">
        <v>68</v>
      </c>
      <c r="BE48" t="s">
        <v>263</v>
      </c>
      <c r="BF48" t="s">
        <v>264</v>
      </c>
      <c r="BG48" t="s">
        <v>265</v>
      </c>
      <c r="BH48">
        <v>0</v>
      </c>
      <c r="BI48">
        <v>0</v>
      </c>
      <c r="BJ48">
        <v>1</v>
      </c>
      <c r="BK48" t="s">
        <v>266</v>
      </c>
      <c r="BL48">
        <v>8.8620000000000001</v>
      </c>
      <c r="BM48">
        <v>9.0256000000000007</v>
      </c>
      <c r="BN48" s="2">
        <v>42952</v>
      </c>
      <c r="BO48" s="1">
        <v>0.45430555555555557</v>
      </c>
      <c r="BP48" s="3">
        <f t="shared" si="4"/>
        <v>1.0001821015981236</v>
      </c>
      <c r="BQ48" s="3">
        <f t="shared" si="5"/>
        <v>1.001505871049398</v>
      </c>
    </row>
    <row r="49" spans="1:69" hidden="1" x14ac:dyDescent="0.35">
      <c r="A49">
        <v>47</v>
      </c>
      <c r="B49">
        <v>3600</v>
      </c>
      <c r="D49">
        <v>24</v>
      </c>
      <c r="E49">
        <v>4</v>
      </c>
      <c r="G49">
        <v>16698.5</v>
      </c>
      <c r="I49" t="s">
        <v>62</v>
      </c>
      <c r="L49" t="s">
        <v>247</v>
      </c>
      <c r="M49">
        <v>12.2</v>
      </c>
      <c r="N49">
        <v>40.200000000000003</v>
      </c>
      <c r="O49">
        <v>11.6</v>
      </c>
      <c r="P49" s="3">
        <f t="shared" si="0"/>
        <v>0.9508196721311476</v>
      </c>
      <c r="Q49">
        <v>32.4</v>
      </c>
      <c r="R49" s="3">
        <f t="shared" si="1"/>
        <v>0.80597014925373123</v>
      </c>
      <c r="S49">
        <v>295</v>
      </c>
      <c r="T49">
        <v>9.3979999999999997</v>
      </c>
      <c r="U49">
        <v>39.97</v>
      </c>
      <c r="V49">
        <v>8.9410000000000007</v>
      </c>
      <c r="W49" s="3">
        <f t="shared" si="2"/>
        <v>0.95137263247499482</v>
      </c>
      <c r="X49">
        <v>32.229999999999997</v>
      </c>
      <c r="Y49" s="3">
        <f t="shared" si="3"/>
        <v>0.80635476607455581</v>
      </c>
      <c r="Z49">
        <v>288.2</v>
      </c>
      <c r="AA49">
        <v>76.7</v>
      </c>
      <c r="AB49">
        <v>24.9</v>
      </c>
      <c r="AC49" t="s">
        <v>64</v>
      </c>
      <c r="AE49" t="s">
        <v>65</v>
      </c>
      <c r="AF49" t="s">
        <v>66</v>
      </c>
      <c r="AG49" s="2">
        <v>44532</v>
      </c>
      <c r="AH49" s="1">
        <v>0.56918981481481479</v>
      </c>
      <c r="AI49" t="s">
        <v>68</v>
      </c>
      <c r="AJ49" t="s">
        <v>69</v>
      </c>
      <c r="AO49">
        <v>7.7</v>
      </c>
      <c r="AP49">
        <v>42.2</v>
      </c>
      <c r="AQ49">
        <v>6.4</v>
      </c>
      <c r="AR49">
        <v>1.9</v>
      </c>
      <c r="AS49">
        <v>38</v>
      </c>
      <c r="AT49">
        <v>25.6</v>
      </c>
      <c r="AY49">
        <v>2.36</v>
      </c>
      <c r="AZ49" t="s">
        <v>227</v>
      </c>
      <c r="BB49" t="s">
        <v>227</v>
      </c>
      <c r="BD49" t="s">
        <v>68</v>
      </c>
      <c r="BE49" t="s">
        <v>267</v>
      </c>
      <c r="BF49" t="s">
        <v>268</v>
      </c>
      <c r="BG49" t="s">
        <v>269</v>
      </c>
      <c r="BH49">
        <v>0</v>
      </c>
      <c r="BI49">
        <v>0</v>
      </c>
      <c r="BJ49">
        <v>1</v>
      </c>
      <c r="BK49" t="s">
        <v>270</v>
      </c>
      <c r="BL49">
        <v>8.8620000000000001</v>
      </c>
      <c r="BM49">
        <v>8.8620000000000001</v>
      </c>
      <c r="BN49" t="s">
        <v>252</v>
      </c>
      <c r="BO49" s="1">
        <v>0.44157407407407406</v>
      </c>
      <c r="BP49" s="3">
        <f t="shared" si="4"/>
        <v>1.0005815617409428</v>
      </c>
      <c r="BQ49" s="3">
        <f t="shared" si="5"/>
        <v>1.0004772097591712</v>
      </c>
    </row>
    <row r="50" spans="1:69" hidden="1" x14ac:dyDescent="0.35">
      <c r="A50">
        <v>48</v>
      </c>
      <c r="B50">
        <v>3607</v>
      </c>
      <c r="D50">
        <v>24</v>
      </c>
      <c r="E50">
        <v>4</v>
      </c>
      <c r="G50">
        <v>16698.5</v>
      </c>
      <c r="I50" t="s">
        <v>62</v>
      </c>
      <c r="L50" t="s">
        <v>226</v>
      </c>
      <c r="M50">
        <v>12.2</v>
      </c>
      <c r="N50">
        <v>40.200000000000003</v>
      </c>
      <c r="O50">
        <v>11.6</v>
      </c>
      <c r="P50" s="3">
        <f t="shared" si="0"/>
        <v>0.9508196721311476</v>
      </c>
      <c r="Q50">
        <v>32.4</v>
      </c>
      <c r="R50" s="3">
        <f t="shared" si="1"/>
        <v>0.80597014925373123</v>
      </c>
      <c r="S50">
        <v>295</v>
      </c>
      <c r="T50">
        <v>9.4209999999999994</v>
      </c>
      <c r="U50">
        <v>40.28</v>
      </c>
      <c r="V50">
        <v>9.01</v>
      </c>
      <c r="W50" s="3">
        <f t="shared" si="2"/>
        <v>0.95637405795563113</v>
      </c>
      <c r="X50">
        <v>32.54</v>
      </c>
      <c r="Y50" s="3">
        <f t="shared" si="3"/>
        <v>0.80784508440913605</v>
      </c>
      <c r="Z50">
        <v>293.2</v>
      </c>
      <c r="AA50">
        <v>77.3</v>
      </c>
      <c r="AB50">
        <v>24.8</v>
      </c>
      <c r="AC50" t="s">
        <v>64</v>
      </c>
      <c r="AE50" t="s">
        <v>65</v>
      </c>
      <c r="AF50" t="s">
        <v>66</v>
      </c>
      <c r="AG50" s="2">
        <v>44532</v>
      </c>
      <c r="AH50" s="1">
        <v>0.52317129629629633</v>
      </c>
      <c r="AI50" t="s">
        <v>68</v>
      </c>
      <c r="AJ50" t="s">
        <v>69</v>
      </c>
      <c r="AO50">
        <v>7.7</v>
      </c>
      <c r="AP50">
        <v>42.4</v>
      </c>
      <c r="AQ50">
        <v>6.4</v>
      </c>
      <c r="AR50">
        <v>1.9</v>
      </c>
      <c r="AS50">
        <v>38.4</v>
      </c>
      <c r="AT50">
        <v>25.6</v>
      </c>
      <c r="AY50">
        <v>2.36</v>
      </c>
      <c r="AZ50" t="s">
        <v>227</v>
      </c>
      <c r="BB50" t="s">
        <v>227</v>
      </c>
      <c r="BD50" t="s">
        <v>68</v>
      </c>
      <c r="BE50" t="s">
        <v>271</v>
      </c>
      <c r="BF50" t="s">
        <v>272</v>
      </c>
      <c r="BG50" t="s">
        <v>273</v>
      </c>
      <c r="BH50">
        <v>0</v>
      </c>
      <c r="BI50">
        <v>0</v>
      </c>
      <c r="BJ50">
        <v>1</v>
      </c>
      <c r="BK50" t="s">
        <v>274</v>
      </c>
      <c r="BL50">
        <v>8.8620000000000001</v>
      </c>
      <c r="BM50">
        <v>9.0256000000000007</v>
      </c>
      <c r="BN50" s="2">
        <v>42952</v>
      </c>
      <c r="BO50" s="1">
        <v>0.49291666666666667</v>
      </c>
      <c r="BP50" s="3">
        <f t="shared" si="4"/>
        <v>1.0058416816429914</v>
      </c>
      <c r="BQ50" s="3">
        <f t="shared" si="5"/>
        <v>1.0023263084335579</v>
      </c>
    </row>
    <row r="51" spans="1:69" hidden="1" x14ac:dyDescent="0.35">
      <c r="A51">
        <v>49</v>
      </c>
      <c r="B51">
        <v>3604</v>
      </c>
      <c r="D51">
        <v>24</v>
      </c>
      <c r="E51">
        <v>4</v>
      </c>
      <c r="G51">
        <v>16698.5</v>
      </c>
      <c r="I51" t="s">
        <v>62</v>
      </c>
      <c r="L51" t="s">
        <v>226</v>
      </c>
      <c r="M51">
        <v>12.2</v>
      </c>
      <c r="N51">
        <v>40.200000000000003</v>
      </c>
      <c r="O51">
        <v>11.6</v>
      </c>
      <c r="P51" s="3">
        <f t="shared" si="0"/>
        <v>0.9508196721311476</v>
      </c>
      <c r="Q51">
        <v>32.4</v>
      </c>
      <c r="R51" s="3">
        <f t="shared" si="1"/>
        <v>0.80597014925373123</v>
      </c>
      <c r="S51">
        <v>295</v>
      </c>
      <c r="T51">
        <v>9.4550000000000001</v>
      </c>
      <c r="U51">
        <v>40.200000000000003</v>
      </c>
      <c r="V51">
        <v>8.9979999999999993</v>
      </c>
      <c r="W51" s="3">
        <f t="shared" si="2"/>
        <v>0.95166578529878365</v>
      </c>
      <c r="X51">
        <v>32.369999999999997</v>
      </c>
      <c r="Y51" s="3">
        <f t="shared" si="3"/>
        <v>0.80522388059701477</v>
      </c>
      <c r="Z51">
        <v>291.3</v>
      </c>
      <c r="AA51">
        <v>76.599999999999994</v>
      </c>
      <c r="AB51">
        <v>25</v>
      </c>
      <c r="AC51" t="s">
        <v>64</v>
      </c>
      <c r="AE51" t="s">
        <v>65</v>
      </c>
      <c r="AF51" t="s">
        <v>66</v>
      </c>
      <c r="AG51" s="2">
        <v>44532</v>
      </c>
      <c r="AH51" s="1">
        <v>0.53409722222222222</v>
      </c>
      <c r="AI51" t="s">
        <v>68</v>
      </c>
      <c r="AJ51" t="s">
        <v>69</v>
      </c>
      <c r="AO51">
        <v>7.7</v>
      </c>
      <c r="AP51">
        <v>42.4</v>
      </c>
      <c r="AQ51">
        <v>6.4</v>
      </c>
      <c r="AR51">
        <v>1.9</v>
      </c>
      <c r="AS51">
        <v>32.799999999999997</v>
      </c>
      <c r="AT51">
        <v>25.6</v>
      </c>
      <c r="AY51">
        <v>2.36</v>
      </c>
      <c r="AZ51" t="s">
        <v>227</v>
      </c>
      <c r="BB51" t="s">
        <v>227</v>
      </c>
      <c r="BD51" t="s">
        <v>68</v>
      </c>
      <c r="BE51" t="s">
        <v>275</v>
      </c>
      <c r="BF51" t="s">
        <v>276</v>
      </c>
      <c r="BG51" t="s">
        <v>277</v>
      </c>
      <c r="BH51">
        <v>0</v>
      </c>
      <c r="BI51">
        <v>0</v>
      </c>
      <c r="BJ51">
        <v>1</v>
      </c>
      <c r="BK51" t="s">
        <v>278</v>
      </c>
      <c r="BL51">
        <v>8.8620000000000001</v>
      </c>
      <c r="BM51">
        <v>9.0256000000000007</v>
      </c>
      <c r="BN51" s="2">
        <v>42952</v>
      </c>
      <c r="BO51" s="1">
        <v>0.46099537037037036</v>
      </c>
      <c r="BP51" s="3">
        <f t="shared" si="4"/>
        <v>1.000889877641824</v>
      </c>
      <c r="BQ51" s="3">
        <f t="shared" si="5"/>
        <v>0.999074074074074</v>
      </c>
    </row>
    <row r="52" spans="1:69" hidden="1" x14ac:dyDescent="0.35">
      <c r="A52">
        <v>50</v>
      </c>
      <c r="B52">
        <v>3932</v>
      </c>
      <c r="D52">
        <v>24</v>
      </c>
      <c r="E52">
        <v>2</v>
      </c>
      <c r="G52">
        <v>16698.5</v>
      </c>
      <c r="I52" t="s">
        <v>62</v>
      </c>
      <c r="L52" t="s">
        <v>279</v>
      </c>
      <c r="M52">
        <v>11.4</v>
      </c>
      <c r="N52">
        <v>39.200000000000003</v>
      </c>
      <c r="O52">
        <v>10.8</v>
      </c>
      <c r="P52" s="3">
        <f t="shared" si="0"/>
        <v>0.94736842105263164</v>
      </c>
      <c r="Q52">
        <v>31.7</v>
      </c>
      <c r="R52" s="3">
        <f t="shared" si="1"/>
        <v>0.80867346938775497</v>
      </c>
      <c r="S52">
        <v>270</v>
      </c>
      <c r="T52">
        <v>9.0690000000000008</v>
      </c>
      <c r="U52">
        <v>38.61</v>
      </c>
      <c r="V52">
        <v>8.6039999999999992</v>
      </c>
      <c r="W52" s="3">
        <f t="shared" si="2"/>
        <v>0.94872643069798201</v>
      </c>
      <c r="X52">
        <v>31.21</v>
      </c>
      <c r="Y52" s="3">
        <f t="shared" si="3"/>
        <v>0.80833980833980834</v>
      </c>
      <c r="Z52">
        <v>268.5</v>
      </c>
      <c r="AA52">
        <v>76.7</v>
      </c>
      <c r="AB52">
        <v>25.3</v>
      </c>
      <c r="AC52" t="s">
        <v>64</v>
      </c>
      <c r="AE52" t="s">
        <v>65</v>
      </c>
      <c r="AF52" t="s">
        <v>66</v>
      </c>
      <c r="AG52" s="2">
        <v>44257</v>
      </c>
      <c r="AH52" s="1">
        <v>0.5181944444444444</v>
      </c>
      <c r="AI52" t="s">
        <v>68</v>
      </c>
      <c r="AJ52" t="s">
        <v>69</v>
      </c>
      <c r="AO52">
        <v>7.3</v>
      </c>
      <c r="AP52">
        <v>40.299999999999997</v>
      </c>
      <c r="AQ52">
        <v>19.2</v>
      </c>
      <c r="AR52">
        <v>1.8</v>
      </c>
      <c r="AS52">
        <v>36.4</v>
      </c>
      <c r="AT52">
        <v>76.8</v>
      </c>
      <c r="AY52">
        <v>2.36</v>
      </c>
      <c r="AZ52" t="s">
        <v>280</v>
      </c>
      <c r="BB52" t="s">
        <v>280</v>
      </c>
      <c r="BD52" t="s">
        <v>68</v>
      </c>
      <c r="BE52" t="s">
        <v>281</v>
      </c>
      <c r="BF52" t="s">
        <v>282</v>
      </c>
      <c r="BG52" t="s">
        <v>283</v>
      </c>
      <c r="BH52">
        <v>0</v>
      </c>
      <c r="BI52">
        <v>0</v>
      </c>
      <c r="BJ52">
        <v>1</v>
      </c>
      <c r="BK52" t="s">
        <v>284</v>
      </c>
      <c r="BL52">
        <v>8.8620000000000001</v>
      </c>
      <c r="BM52">
        <v>8.8620000000000001</v>
      </c>
      <c r="BN52" s="2">
        <v>43164</v>
      </c>
      <c r="BO52" s="1">
        <v>0.51938657407407407</v>
      </c>
      <c r="BP52" s="3">
        <f t="shared" si="4"/>
        <v>1.0014334546256476</v>
      </c>
      <c r="BQ52" s="3">
        <f t="shared" si="5"/>
        <v>0.99958739706373789</v>
      </c>
    </row>
    <row r="53" spans="1:69" hidden="1" x14ac:dyDescent="0.35">
      <c r="A53">
        <v>51</v>
      </c>
      <c r="B53">
        <v>3933</v>
      </c>
      <c r="D53">
        <v>24</v>
      </c>
      <c r="E53">
        <v>2</v>
      </c>
      <c r="G53">
        <v>16698.5</v>
      </c>
      <c r="I53" t="s">
        <v>62</v>
      </c>
      <c r="L53" t="s">
        <v>279</v>
      </c>
      <c r="M53">
        <v>11.4</v>
      </c>
      <c r="N53">
        <v>39.200000000000003</v>
      </c>
      <c r="O53">
        <v>10.8</v>
      </c>
      <c r="P53" s="3">
        <f t="shared" si="0"/>
        <v>0.94736842105263164</v>
      </c>
      <c r="Q53">
        <v>31.7</v>
      </c>
      <c r="R53" s="3">
        <f t="shared" si="1"/>
        <v>0.80867346938775497</v>
      </c>
      <c r="S53">
        <v>270</v>
      </c>
      <c r="T53">
        <v>9.0939999999999994</v>
      </c>
      <c r="U53">
        <v>38.81</v>
      </c>
      <c r="V53">
        <v>8.6430000000000007</v>
      </c>
      <c r="W53" s="3">
        <f t="shared" si="2"/>
        <v>0.95040686166703336</v>
      </c>
      <c r="X53">
        <v>31.47</v>
      </c>
      <c r="Y53" s="3">
        <f t="shared" si="3"/>
        <v>0.81087348621489297</v>
      </c>
      <c r="Z53">
        <v>271.89999999999998</v>
      </c>
      <c r="AA53">
        <v>77.099999999999994</v>
      </c>
      <c r="AB53">
        <v>24.8</v>
      </c>
      <c r="AC53" t="s">
        <v>64</v>
      </c>
      <c r="AE53" t="s">
        <v>65</v>
      </c>
      <c r="AF53" t="s">
        <v>66</v>
      </c>
      <c r="AG53" s="2">
        <v>44257</v>
      </c>
      <c r="AH53" s="1">
        <v>0.43716435185185187</v>
      </c>
      <c r="AI53" t="s">
        <v>68</v>
      </c>
      <c r="AJ53" t="s">
        <v>69</v>
      </c>
      <c r="AO53">
        <v>7.2729999999999997</v>
      </c>
      <c r="AP53">
        <v>40.265999999999998</v>
      </c>
      <c r="AQ53">
        <v>19.2</v>
      </c>
      <c r="AR53">
        <v>1.82</v>
      </c>
      <c r="AS53">
        <v>36.212000000000003</v>
      </c>
      <c r="AT53">
        <v>76.8</v>
      </c>
      <c r="AY53">
        <v>2.36</v>
      </c>
      <c r="AZ53" t="s">
        <v>227</v>
      </c>
      <c r="BB53" t="s">
        <v>227</v>
      </c>
      <c r="BD53" t="s">
        <v>68</v>
      </c>
      <c r="BE53" t="s">
        <v>285</v>
      </c>
      <c r="BF53" t="s">
        <v>286</v>
      </c>
      <c r="BG53" t="s">
        <v>287</v>
      </c>
      <c r="BH53">
        <v>0</v>
      </c>
      <c r="BI53">
        <v>0</v>
      </c>
      <c r="BJ53">
        <v>1</v>
      </c>
      <c r="BK53" t="s">
        <v>288</v>
      </c>
      <c r="BL53">
        <v>8.8620000000000001</v>
      </c>
      <c r="BM53">
        <v>8.8620000000000001</v>
      </c>
      <c r="BN53" s="2">
        <v>43164</v>
      </c>
      <c r="BO53" s="1">
        <v>0.53068287037037032</v>
      </c>
      <c r="BP53" s="3">
        <f t="shared" si="4"/>
        <v>1.0032072428707575</v>
      </c>
      <c r="BQ53" s="3">
        <f t="shared" si="5"/>
        <v>1.0027205255401832</v>
      </c>
    </row>
    <row r="54" spans="1:69" hidden="1" x14ac:dyDescent="0.35">
      <c r="A54">
        <v>52</v>
      </c>
      <c r="B54">
        <v>3502</v>
      </c>
      <c r="D54">
        <v>24</v>
      </c>
      <c r="E54">
        <v>2</v>
      </c>
      <c r="G54">
        <v>16698.5</v>
      </c>
      <c r="I54" t="s">
        <v>62</v>
      </c>
      <c r="L54" t="s">
        <v>289</v>
      </c>
      <c r="M54">
        <v>11.4</v>
      </c>
      <c r="N54">
        <v>39.200000000000003</v>
      </c>
      <c r="O54">
        <v>10.8</v>
      </c>
      <c r="P54" s="3">
        <f t="shared" si="0"/>
        <v>0.94736842105263164</v>
      </c>
      <c r="Q54">
        <v>31.7</v>
      </c>
      <c r="R54" s="3">
        <f t="shared" si="1"/>
        <v>0.80867346938775497</v>
      </c>
      <c r="S54">
        <v>270</v>
      </c>
      <c r="T54">
        <v>9.0570000000000004</v>
      </c>
      <c r="U54">
        <v>38.85</v>
      </c>
      <c r="V54">
        <v>8.6050000000000004</v>
      </c>
      <c r="W54" s="3">
        <f t="shared" si="2"/>
        <v>0.95009385006072655</v>
      </c>
      <c r="X54">
        <v>31.5</v>
      </c>
      <c r="Y54" s="3">
        <f t="shared" si="3"/>
        <v>0.81081081081081074</v>
      </c>
      <c r="Z54">
        <v>271.10000000000002</v>
      </c>
      <c r="AA54">
        <v>77</v>
      </c>
      <c r="AB54">
        <v>25.1</v>
      </c>
      <c r="AC54" t="s">
        <v>64</v>
      </c>
      <c r="AE54" t="s">
        <v>65</v>
      </c>
      <c r="AF54" t="s">
        <v>66</v>
      </c>
      <c r="AG54" s="2">
        <v>44257</v>
      </c>
      <c r="AH54" s="1">
        <v>0.59611111111111115</v>
      </c>
      <c r="AI54" t="s">
        <v>68</v>
      </c>
      <c r="AJ54" t="s">
        <v>69</v>
      </c>
      <c r="AO54">
        <v>7.3</v>
      </c>
      <c r="AP54">
        <v>40.5</v>
      </c>
      <c r="AQ54">
        <v>19.2</v>
      </c>
      <c r="AR54">
        <v>1.8</v>
      </c>
      <c r="AS54">
        <v>36.6</v>
      </c>
      <c r="AT54">
        <v>76.8</v>
      </c>
      <c r="AY54">
        <v>2.36</v>
      </c>
      <c r="AZ54" t="s">
        <v>280</v>
      </c>
      <c r="BB54" t="s">
        <v>280</v>
      </c>
      <c r="BD54" t="s">
        <v>68</v>
      </c>
      <c r="BE54" t="s">
        <v>290</v>
      </c>
      <c r="BF54" t="s">
        <v>291</v>
      </c>
      <c r="BG54" t="s">
        <v>292</v>
      </c>
      <c r="BH54">
        <v>0</v>
      </c>
      <c r="BI54">
        <v>0</v>
      </c>
      <c r="BJ54">
        <v>1</v>
      </c>
      <c r="BK54" t="s">
        <v>293</v>
      </c>
      <c r="BL54">
        <v>8.8620000000000001</v>
      </c>
      <c r="BN54" t="s">
        <v>294</v>
      </c>
      <c r="BO54" s="1">
        <v>0.50041666666666662</v>
      </c>
      <c r="BP54" s="3">
        <f t="shared" si="4"/>
        <v>1.0028768417307667</v>
      </c>
      <c r="BQ54" s="3">
        <f t="shared" si="5"/>
        <v>1.0026430215704665</v>
      </c>
    </row>
    <row r="55" spans="1:69" hidden="1" x14ac:dyDescent="0.35">
      <c r="A55">
        <v>53</v>
      </c>
      <c r="B55">
        <v>3928</v>
      </c>
      <c r="D55">
        <v>24</v>
      </c>
      <c r="E55">
        <v>2</v>
      </c>
      <c r="G55">
        <v>16698.5</v>
      </c>
      <c r="I55" t="s">
        <v>62</v>
      </c>
      <c r="L55" t="s">
        <v>279</v>
      </c>
      <c r="M55">
        <v>11.4</v>
      </c>
      <c r="N55">
        <v>39.200000000000003</v>
      </c>
      <c r="O55">
        <v>10.8</v>
      </c>
      <c r="P55" s="3">
        <f t="shared" si="0"/>
        <v>0.94736842105263164</v>
      </c>
      <c r="Q55">
        <v>31.7</v>
      </c>
      <c r="R55" s="3">
        <f t="shared" si="1"/>
        <v>0.80867346938775497</v>
      </c>
      <c r="S55">
        <v>270</v>
      </c>
      <c r="T55">
        <v>9.0570000000000004</v>
      </c>
      <c r="U55">
        <v>38.75</v>
      </c>
      <c r="V55">
        <v>8.5719999999999992</v>
      </c>
      <c r="W55" s="3">
        <f t="shared" si="2"/>
        <v>0.9464502594678148</v>
      </c>
      <c r="X55">
        <v>31.4</v>
      </c>
      <c r="Y55" s="3">
        <f t="shared" si="3"/>
        <v>0.81032258064516127</v>
      </c>
      <c r="Z55">
        <v>269.2</v>
      </c>
      <c r="AA55">
        <v>76.7</v>
      </c>
      <c r="AB55">
        <v>25.1</v>
      </c>
      <c r="AC55" t="s">
        <v>64</v>
      </c>
      <c r="AE55" t="s">
        <v>65</v>
      </c>
      <c r="AF55" t="s">
        <v>66</v>
      </c>
      <c r="AG55" s="2">
        <v>44257</v>
      </c>
      <c r="AH55" s="1">
        <v>0.62236111111111114</v>
      </c>
      <c r="AI55" t="s">
        <v>68</v>
      </c>
      <c r="AJ55" t="s">
        <v>69</v>
      </c>
      <c r="AO55">
        <v>7.3</v>
      </c>
      <c r="AP55">
        <v>40.5</v>
      </c>
      <c r="AQ55">
        <v>19.2</v>
      </c>
      <c r="AR55">
        <v>1.8</v>
      </c>
      <c r="AS55">
        <v>36.5</v>
      </c>
      <c r="AT55">
        <v>76.8</v>
      </c>
      <c r="AY55">
        <v>2.36</v>
      </c>
      <c r="AZ55" t="s">
        <v>227</v>
      </c>
      <c r="BB55" t="s">
        <v>227</v>
      </c>
      <c r="BD55" t="s">
        <v>68</v>
      </c>
      <c r="BE55" t="s">
        <v>295</v>
      </c>
      <c r="BF55" t="s">
        <v>296</v>
      </c>
      <c r="BG55" t="s">
        <v>297</v>
      </c>
      <c r="BH55">
        <v>0</v>
      </c>
      <c r="BI55">
        <v>0</v>
      </c>
      <c r="BJ55">
        <v>1</v>
      </c>
      <c r="BK55" t="s">
        <v>298</v>
      </c>
      <c r="BL55">
        <v>8.8620000000000001</v>
      </c>
      <c r="BM55">
        <v>8.8620000000000001</v>
      </c>
      <c r="BN55" s="2">
        <v>43164</v>
      </c>
      <c r="BO55" s="1">
        <v>0.47775462962962961</v>
      </c>
      <c r="BP55" s="3">
        <f t="shared" si="4"/>
        <v>0.99903082943824895</v>
      </c>
      <c r="BQ55" s="3">
        <f t="shared" si="5"/>
        <v>1.0020392795359725</v>
      </c>
    </row>
    <row r="56" spans="1:69" hidden="1" x14ac:dyDescent="0.35">
      <c r="A56">
        <v>54</v>
      </c>
      <c r="B56">
        <v>3179</v>
      </c>
      <c r="D56">
        <v>24</v>
      </c>
      <c r="E56">
        <v>2</v>
      </c>
      <c r="G56">
        <v>16698.5</v>
      </c>
      <c r="I56" t="s">
        <v>62</v>
      </c>
      <c r="L56" t="s">
        <v>299</v>
      </c>
      <c r="M56">
        <v>11.4</v>
      </c>
      <c r="N56">
        <v>39.200000000000003</v>
      </c>
      <c r="O56">
        <v>10.8</v>
      </c>
      <c r="P56" s="3">
        <f t="shared" si="0"/>
        <v>0.94736842105263164</v>
      </c>
      <c r="Q56">
        <v>31.7</v>
      </c>
      <c r="R56" s="3">
        <f t="shared" si="1"/>
        <v>0.80867346938775497</v>
      </c>
      <c r="S56">
        <v>270</v>
      </c>
      <c r="T56">
        <v>9.0739999999999998</v>
      </c>
      <c r="U56">
        <v>38.79</v>
      </c>
      <c r="V56">
        <v>8.6210000000000004</v>
      </c>
      <c r="W56" s="3">
        <f t="shared" si="2"/>
        <v>0.95007714348688566</v>
      </c>
      <c r="X56">
        <v>31.52</v>
      </c>
      <c r="Y56" s="3">
        <f t="shared" si="3"/>
        <v>0.81258056200051565</v>
      </c>
      <c r="Z56">
        <v>271.7</v>
      </c>
      <c r="AA56">
        <v>77.2</v>
      </c>
      <c r="AB56">
        <v>24.9</v>
      </c>
      <c r="AC56" t="s">
        <v>64</v>
      </c>
      <c r="AE56" t="s">
        <v>65</v>
      </c>
      <c r="AF56" t="s">
        <v>66</v>
      </c>
      <c r="AG56" s="2">
        <v>44257</v>
      </c>
      <c r="AH56" s="1">
        <v>0.53733796296296299</v>
      </c>
      <c r="AI56" t="s">
        <v>68</v>
      </c>
      <c r="AJ56" t="s">
        <v>69</v>
      </c>
      <c r="AO56">
        <v>7.3</v>
      </c>
      <c r="AP56">
        <v>40.4</v>
      </c>
      <c r="AQ56">
        <v>19.2</v>
      </c>
      <c r="AR56">
        <v>1.8</v>
      </c>
      <c r="AS56">
        <v>36.6</v>
      </c>
      <c r="AT56">
        <v>76.8</v>
      </c>
      <c r="AY56">
        <v>2.36</v>
      </c>
      <c r="AZ56" t="s">
        <v>280</v>
      </c>
      <c r="BB56" t="s">
        <v>280</v>
      </c>
      <c r="BD56" t="s">
        <v>68</v>
      </c>
      <c r="BE56" t="s">
        <v>300</v>
      </c>
      <c r="BF56" t="s">
        <v>301</v>
      </c>
      <c r="BG56" t="s">
        <v>302</v>
      </c>
      <c r="BH56">
        <v>0</v>
      </c>
      <c r="BI56">
        <v>0</v>
      </c>
      <c r="BJ56">
        <v>1</v>
      </c>
      <c r="BK56" t="s">
        <v>303</v>
      </c>
      <c r="BL56">
        <v>8.8620000000000001</v>
      </c>
      <c r="BN56" s="2">
        <v>42197</v>
      </c>
      <c r="BO56" s="1">
        <v>0.61414351851851856</v>
      </c>
      <c r="BP56" s="3">
        <f t="shared" si="4"/>
        <v>1.0028592070139348</v>
      </c>
      <c r="BQ56" s="3">
        <f t="shared" si="5"/>
        <v>1.0048314836094707</v>
      </c>
    </row>
    <row r="57" spans="1:69" hidden="1" x14ac:dyDescent="0.35">
      <c r="A57">
        <v>55</v>
      </c>
      <c r="B57">
        <v>3277</v>
      </c>
      <c r="D57">
        <v>24</v>
      </c>
      <c r="E57">
        <v>2</v>
      </c>
      <c r="G57">
        <v>16698.5</v>
      </c>
      <c r="I57" t="s">
        <v>62</v>
      </c>
      <c r="L57" t="s">
        <v>279</v>
      </c>
      <c r="M57">
        <v>11.4</v>
      </c>
      <c r="N57">
        <v>39.200000000000003</v>
      </c>
      <c r="O57">
        <v>10.8</v>
      </c>
      <c r="P57" s="3">
        <f t="shared" si="0"/>
        <v>0.94736842105263164</v>
      </c>
      <c r="Q57">
        <v>31.7</v>
      </c>
      <c r="R57" s="3">
        <f t="shared" si="1"/>
        <v>0.80867346938775497</v>
      </c>
      <c r="S57">
        <v>270</v>
      </c>
      <c r="T57">
        <v>9.0519999999999996</v>
      </c>
      <c r="U57">
        <v>38.909999999999997</v>
      </c>
      <c r="V57">
        <v>8.6270000000000007</v>
      </c>
      <c r="W57" s="3">
        <f t="shared" si="2"/>
        <v>0.95304904993371642</v>
      </c>
      <c r="X57">
        <v>31.58</v>
      </c>
      <c r="Y57" s="3">
        <f t="shared" si="3"/>
        <v>0.81161655101516328</v>
      </c>
      <c r="Z57">
        <v>272.5</v>
      </c>
      <c r="AA57">
        <v>77.400000000000006</v>
      </c>
      <c r="AB57">
        <v>24.6</v>
      </c>
      <c r="AC57" t="s">
        <v>64</v>
      </c>
      <c r="AE57" t="s">
        <v>65</v>
      </c>
      <c r="AF57" t="s">
        <v>66</v>
      </c>
      <c r="AG57" s="2">
        <v>44257</v>
      </c>
      <c r="AH57" s="1">
        <v>0.44146990740740738</v>
      </c>
      <c r="AI57" t="s">
        <v>68</v>
      </c>
      <c r="AJ57" t="s">
        <v>69</v>
      </c>
      <c r="AO57">
        <v>7.3</v>
      </c>
      <c r="AP57">
        <v>40.799999999999997</v>
      </c>
      <c r="AQ57">
        <v>19.2</v>
      </c>
      <c r="AR57">
        <v>1.8</v>
      </c>
      <c r="AS57">
        <v>36.799999999999997</v>
      </c>
      <c r="AT57">
        <v>76.8</v>
      </c>
      <c r="AY57">
        <v>2.36</v>
      </c>
      <c r="AZ57" t="s">
        <v>227</v>
      </c>
      <c r="BB57" t="s">
        <v>227</v>
      </c>
      <c r="BD57" t="s">
        <v>68</v>
      </c>
      <c r="BE57" t="s">
        <v>304</v>
      </c>
      <c r="BF57" t="s">
        <v>305</v>
      </c>
      <c r="BG57" t="s">
        <v>306</v>
      </c>
      <c r="BH57">
        <v>0</v>
      </c>
      <c r="BI57">
        <v>0</v>
      </c>
      <c r="BJ57">
        <v>1</v>
      </c>
      <c r="BK57" t="s">
        <v>307</v>
      </c>
      <c r="BL57">
        <v>8.8620000000000001</v>
      </c>
      <c r="BM57">
        <v>8.8620000000000001</v>
      </c>
      <c r="BN57" s="2">
        <v>43164</v>
      </c>
      <c r="BO57" s="1">
        <v>0.3944097222222222</v>
      </c>
      <c r="BP57" s="3">
        <f t="shared" si="4"/>
        <v>1.0059962193744785</v>
      </c>
      <c r="BQ57" s="3">
        <f t="shared" si="5"/>
        <v>1.003639394315281</v>
      </c>
    </row>
    <row r="58" spans="1:69" hidden="1" x14ac:dyDescent="0.35">
      <c r="A58">
        <v>56</v>
      </c>
      <c r="B58">
        <v>3923</v>
      </c>
      <c r="D58">
        <v>24</v>
      </c>
      <c r="E58">
        <v>2</v>
      </c>
      <c r="G58">
        <v>16698.5</v>
      </c>
      <c r="I58" t="s">
        <v>62</v>
      </c>
      <c r="L58" t="s">
        <v>279</v>
      </c>
      <c r="M58">
        <v>11.4</v>
      </c>
      <c r="N58">
        <v>39.200000000000003</v>
      </c>
      <c r="O58">
        <v>10.8</v>
      </c>
      <c r="P58" s="3">
        <f t="shared" si="0"/>
        <v>0.94736842105263164</v>
      </c>
      <c r="Q58">
        <v>31.7</v>
      </c>
      <c r="R58" s="3">
        <f t="shared" si="1"/>
        <v>0.80867346938775497</v>
      </c>
      <c r="S58">
        <v>270</v>
      </c>
      <c r="T58">
        <v>9.109</v>
      </c>
      <c r="U58">
        <v>38.75</v>
      </c>
      <c r="V58">
        <v>8.6349999999999998</v>
      </c>
      <c r="W58" s="3">
        <f t="shared" si="2"/>
        <v>0.94796355253046438</v>
      </c>
      <c r="X58">
        <v>31.27</v>
      </c>
      <c r="Y58" s="3">
        <f t="shared" si="3"/>
        <v>0.80696774193548382</v>
      </c>
      <c r="Z58">
        <v>270</v>
      </c>
      <c r="AA58">
        <v>76.5</v>
      </c>
      <c r="AB58">
        <v>25.2</v>
      </c>
      <c r="AC58" t="s">
        <v>64</v>
      </c>
      <c r="AE58" t="s">
        <v>65</v>
      </c>
      <c r="AF58" t="s">
        <v>66</v>
      </c>
      <c r="AG58" s="2">
        <v>44257</v>
      </c>
      <c r="AH58" s="1">
        <v>0.61263888888888884</v>
      </c>
      <c r="AI58" t="s">
        <v>68</v>
      </c>
      <c r="AJ58" t="s">
        <v>69</v>
      </c>
      <c r="AO58">
        <v>7.3</v>
      </c>
      <c r="AP58">
        <v>41.5</v>
      </c>
      <c r="AQ58">
        <v>19.2</v>
      </c>
      <c r="AR58">
        <v>1.8</v>
      </c>
      <c r="AS58">
        <v>37.1</v>
      </c>
      <c r="AT58">
        <v>76.8</v>
      </c>
      <c r="AY58">
        <v>2.36</v>
      </c>
      <c r="AZ58" t="s">
        <v>280</v>
      </c>
      <c r="BB58" t="s">
        <v>280</v>
      </c>
      <c r="BD58" t="s">
        <v>68</v>
      </c>
      <c r="BE58" t="s">
        <v>308</v>
      </c>
      <c r="BF58" t="s">
        <v>309</v>
      </c>
      <c r="BG58" t="s">
        <v>310</v>
      </c>
      <c r="BH58">
        <v>0</v>
      </c>
      <c r="BI58">
        <v>0</v>
      </c>
      <c r="BJ58">
        <v>1</v>
      </c>
      <c r="BK58" t="s">
        <v>311</v>
      </c>
      <c r="BL58">
        <v>8.8620000000000001</v>
      </c>
      <c r="BM58">
        <v>8.8620000000000001</v>
      </c>
      <c r="BN58" s="2">
        <v>43164</v>
      </c>
      <c r="BO58" s="1">
        <v>0.41478009259259258</v>
      </c>
      <c r="BP58" s="3">
        <f t="shared" si="4"/>
        <v>1.0006281943377124</v>
      </c>
      <c r="BQ58" s="3">
        <f t="shared" si="5"/>
        <v>0.9978907092703776</v>
      </c>
    </row>
    <row r="59" spans="1:69" hidden="1" x14ac:dyDescent="0.35">
      <c r="A59">
        <v>57</v>
      </c>
      <c r="B59">
        <v>3929</v>
      </c>
      <c r="D59">
        <v>24</v>
      </c>
      <c r="E59">
        <v>2</v>
      </c>
      <c r="G59">
        <v>16698.5</v>
      </c>
      <c r="I59" t="s">
        <v>62</v>
      </c>
      <c r="L59" t="s">
        <v>279</v>
      </c>
      <c r="M59">
        <v>11.4</v>
      </c>
      <c r="N59">
        <v>39.200000000000003</v>
      </c>
      <c r="O59">
        <v>10.8</v>
      </c>
      <c r="P59" s="3">
        <f t="shared" si="0"/>
        <v>0.94736842105263164</v>
      </c>
      <c r="Q59">
        <v>31.7</v>
      </c>
      <c r="R59" s="3">
        <f t="shared" si="1"/>
        <v>0.80867346938775497</v>
      </c>
      <c r="S59">
        <v>270</v>
      </c>
      <c r="T59">
        <v>9.0549999999999997</v>
      </c>
      <c r="U59">
        <v>38.74</v>
      </c>
      <c r="V59">
        <v>8.5879999999999992</v>
      </c>
      <c r="W59" s="3">
        <f t="shared" si="2"/>
        <v>0.94842628382109329</v>
      </c>
      <c r="X59">
        <v>31.34</v>
      </c>
      <c r="Y59" s="3">
        <f t="shared" si="3"/>
        <v>0.80898296334537945</v>
      </c>
      <c r="Z59">
        <v>269.2</v>
      </c>
      <c r="AA59">
        <v>76.7</v>
      </c>
      <c r="AB59">
        <v>25</v>
      </c>
      <c r="AC59" t="s">
        <v>64</v>
      </c>
      <c r="AE59" t="s">
        <v>65</v>
      </c>
      <c r="AF59" t="s">
        <v>66</v>
      </c>
      <c r="AG59" s="2">
        <v>44257</v>
      </c>
      <c r="AH59" s="1">
        <v>0.44930555555555557</v>
      </c>
      <c r="AI59" t="s">
        <v>68</v>
      </c>
      <c r="AJ59" t="s">
        <v>69</v>
      </c>
      <c r="AO59">
        <v>7.3</v>
      </c>
      <c r="AP59">
        <v>40.4</v>
      </c>
      <c r="AQ59">
        <v>19.2</v>
      </c>
      <c r="AR59">
        <v>1.8</v>
      </c>
      <c r="AS59">
        <v>36.4</v>
      </c>
      <c r="AT59">
        <v>76.8</v>
      </c>
      <c r="AY59">
        <v>2.36</v>
      </c>
      <c r="AZ59" t="s">
        <v>280</v>
      </c>
      <c r="BB59" t="s">
        <v>280</v>
      </c>
      <c r="BD59" t="s">
        <v>68</v>
      </c>
      <c r="BE59" t="s">
        <v>312</v>
      </c>
      <c r="BF59" t="s">
        <v>313</v>
      </c>
      <c r="BG59" t="s">
        <v>314</v>
      </c>
      <c r="BH59">
        <v>0</v>
      </c>
      <c r="BI59">
        <v>0</v>
      </c>
      <c r="BJ59">
        <v>1</v>
      </c>
      <c r="BK59" t="s">
        <v>315</v>
      </c>
      <c r="BL59">
        <v>8.8620000000000001</v>
      </c>
      <c r="BM59">
        <v>8.8620000000000001</v>
      </c>
      <c r="BN59" s="2">
        <v>43164</v>
      </c>
      <c r="BO59" s="1">
        <v>0.484375</v>
      </c>
      <c r="BP59" s="3">
        <f t="shared" si="4"/>
        <v>1.0011166329222652</v>
      </c>
      <c r="BQ59" s="3">
        <f t="shared" si="5"/>
        <v>1.0003827180800908</v>
      </c>
    </row>
    <row r="60" spans="1:69" hidden="1" x14ac:dyDescent="0.35">
      <c r="A60">
        <v>58</v>
      </c>
      <c r="B60">
        <v>3504</v>
      </c>
      <c r="D60">
        <v>24</v>
      </c>
      <c r="E60">
        <v>2</v>
      </c>
      <c r="G60">
        <v>16698.5</v>
      </c>
      <c r="I60" t="s">
        <v>62</v>
      </c>
      <c r="L60" t="s">
        <v>289</v>
      </c>
      <c r="M60">
        <v>11.4</v>
      </c>
      <c r="N60">
        <v>39.200000000000003</v>
      </c>
      <c r="O60">
        <v>10.8</v>
      </c>
      <c r="P60" s="3">
        <f t="shared" si="0"/>
        <v>0.94736842105263164</v>
      </c>
      <c r="Q60">
        <v>31.7</v>
      </c>
      <c r="R60" s="3">
        <f t="shared" si="1"/>
        <v>0.80867346938775497</v>
      </c>
      <c r="S60">
        <v>270</v>
      </c>
      <c r="T60">
        <v>9.1489999999999991</v>
      </c>
      <c r="U60">
        <v>38.92</v>
      </c>
      <c r="V60">
        <v>8.6809999999999992</v>
      </c>
      <c r="W60" s="3">
        <f t="shared" si="2"/>
        <v>0.94884686851021971</v>
      </c>
      <c r="X60">
        <v>31.58</v>
      </c>
      <c r="Y60" s="3">
        <f t="shared" si="3"/>
        <v>0.81140801644398763</v>
      </c>
      <c r="Z60">
        <v>274.10000000000002</v>
      </c>
      <c r="AA60">
        <v>77</v>
      </c>
      <c r="AB60">
        <v>24.7</v>
      </c>
      <c r="AC60" t="s">
        <v>64</v>
      </c>
      <c r="AE60" t="s">
        <v>65</v>
      </c>
      <c r="AF60" t="s">
        <v>66</v>
      </c>
      <c r="AG60" s="2">
        <v>44257</v>
      </c>
      <c r="AH60" s="1">
        <v>0.53380787037037036</v>
      </c>
      <c r="AI60" t="s">
        <v>68</v>
      </c>
      <c r="AJ60" t="s">
        <v>69</v>
      </c>
      <c r="AO60">
        <v>7.3</v>
      </c>
      <c r="AP60">
        <v>41</v>
      </c>
      <c r="AQ60">
        <v>19.2</v>
      </c>
      <c r="AR60">
        <v>1.8</v>
      </c>
      <c r="AS60">
        <v>36.700000000000003</v>
      </c>
      <c r="AT60">
        <v>76.8</v>
      </c>
      <c r="AY60">
        <v>2.36</v>
      </c>
      <c r="AZ60" t="s">
        <v>280</v>
      </c>
      <c r="BB60" t="s">
        <v>280</v>
      </c>
      <c r="BD60" t="s">
        <v>68</v>
      </c>
      <c r="BE60" t="s">
        <v>316</v>
      </c>
      <c r="BF60" t="s">
        <v>317</v>
      </c>
      <c r="BG60" t="s">
        <v>318</v>
      </c>
      <c r="BH60">
        <v>0</v>
      </c>
      <c r="BI60">
        <v>0</v>
      </c>
      <c r="BJ60">
        <v>1</v>
      </c>
      <c r="BK60" t="s">
        <v>319</v>
      </c>
      <c r="BL60">
        <v>8.8620000000000001</v>
      </c>
      <c r="BN60" t="s">
        <v>294</v>
      </c>
      <c r="BO60" s="1">
        <v>0.47940972222222222</v>
      </c>
      <c r="BP60" s="3">
        <f t="shared" si="4"/>
        <v>1.0015605834274541</v>
      </c>
      <c r="BQ60" s="3">
        <f t="shared" si="5"/>
        <v>1.0033815219118083</v>
      </c>
    </row>
    <row r="61" spans="1:69" hidden="1" x14ac:dyDescent="0.35">
      <c r="A61">
        <v>59</v>
      </c>
      <c r="B61">
        <v>3501</v>
      </c>
      <c r="D61">
        <v>24</v>
      </c>
      <c r="E61">
        <v>2</v>
      </c>
      <c r="G61">
        <v>16698.5</v>
      </c>
      <c r="I61" t="s">
        <v>62</v>
      </c>
      <c r="L61" t="s">
        <v>289</v>
      </c>
      <c r="M61">
        <v>11.4</v>
      </c>
      <c r="N61">
        <v>39.200000000000003</v>
      </c>
      <c r="O61">
        <v>10.8</v>
      </c>
      <c r="P61" s="3">
        <f t="shared" si="0"/>
        <v>0.94736842105263164</v>
      </c>
      <c r="Q61">
        <v>31.7</v>
      </c>
      <c r="R61" s="3">
        <f t="shared" si="1"/>
        <v>0.80867346938775497</v>
      </c>
      <c r="S61">
        <v>270</v>
      </c>
      <c r="T61">
        <v>9.0449999999999999</v>
      </c>
      <c r="U61">
        <v>38.76</v>
      </c>
      <c r="V61">
        <v>8.5630000000000006</v>
      </c>
      <c r="W61" s="3">
        <f t="shared" si="2"/>
        <v>0.94671088999447217</v>
      </c>
      <c r="X61">
        <v>31.44</v>
      </c>
      <c r="Y61" s="3">
        <f t="shared" si="3"/>
        <v>0.81114551083591335</v>
      </c>
      <c r="Z61">
        <v>269.2</v>
      </c>
      <c r="AA61">
        <v>76.8</v>
      </c>
      <c r="AB61">
        <v>24.7</v>
      </c>
      <c r="AC61" t="s">
        <v>64</v>
      </c>
      <c r="AE61" t="s">
        <v>65</v>
      </c>
      <c r="AF61" t="s">
        <v>66</v>
      </c>
      <c r="AG61" s="2">
        <v>44257</v>
      </c>
      <c r="AH61" s="1">
        <v>0.523900462962963</v>
      </c>
      <c r="AI61" t="s">
        <v>68</v>
      </c>
      <c r="AJ61" t="s">
        <v>69</v>
      </c>
      <c r="AO61">
        <v>7.3</v>
      </c>
      <c r="AP61">
        <v>40.4</v>
      </c>
      <c r="AQ61">
        <v>19.2</v>
      </c>
      <c r="AR61">
        <v>1.8</v>
      </c>
      <c r="AS61">
        <v>36.5</v>
      </c>
      <c r="AT61">
        <v>76.8</v>
      </c>
      <c r="AY61">
        <v>2.36</v>
      </c>
      <c r="AZ61" t="s">
        <v>280</v>
      </c>
      <c r="BB61" t="s">
        <v>280</v>
      </c>
      <c r="BD61" t="s">
        <v>68</v>
      </c>
      <c r="BE61" t="s">
        <v>320</v>
      </c>
      <c r="BF61" t="s">
        <v>321</v>
      </c>
      <c r="BG61" t="s">
        <v>322</v>
      </c>
      <c r="BH61">
        <v>0</v>
      </c>
      <c r="BI61">
        <v>0</v>
      </c>
      <c r="BJ61">
        <v>2</v>
      </c>
      <c r="BK61" t="s">
        <v>323</v>
      </c>
      <c r="BL61">
        <v>8.8620000000000001</v>
      </c>
      <c r="BN61" t="s">
        <v>294</v>
      </c>
      <c r="BO61" s="1">
        <v>0.5141782407407407</v>
      </c>
      <c r="BP61" s="3">
        <f t="shared" si="4"/>
        <v>0.99930593943860946</v>
      </c>
      <c r="BQ61" s="3">
        <f t="shared" si="5"/>
        <v>1.003056909298669</v>
      </c>
    </row>
    <row r="62" spans="1:69" hidden="1" x14ac:dyDescent="0.35">
      <c r="A62">
        <v>60</v>
      </c>
      <c r="B62">
        <v>3500</v>
      </c>
      <c r="D62">
        <v>24</v>
      </c>
      <c r="E62">
        <v>2</v>
      </c>
      <c r="G62">
        <v>16698.5</v>
      </c>
      <c r="I62" t="s">
        <v>62</v>
      </c>
      <c r="L62" t="s">
        <v>289</v>
      </c>
      <c r="M62">
        <v>11.4</v>
      </c>
      <c r="N62">
        <v>39.200000000000003</v>
      </c>
      <c r="O62">
        <v>10.8</v>
      </c>
      <c r="P62" s="3">
        <f t="shared" si="0"/>
        <v>0.94736842105263164</v>
      </c>
      <c r="Q62">
        <v>31.7</v>
      </c>
      <c r="R62" s="3">
        <f t="shared" si="1"/>
        <v>0.80867346938775497</v>
      </c>
      <c r="S62">
        <v>270</v>
      </c>
      <c r="T62">
        <v>9.1310000000000002</v>
      </c>
      <c r="U62">
        <v>38.869999999999997</v>
      </c>
      <c r="V62">
        <v>8.66</v>
      </c>
      <c r="W62" s="3">
        <f t="shared" si="2"/>
        <v>0.94841747891797179</v>
      </c>
      <c r="X62">
        <v>31.55</v>
      </c>
      <c r="Y62" s="3">
        <f t="shared" si="3"/>
        <v>0.8116799588371495</v>
      </c>
      <c r="Z62">
        <v>273.2</v>
      </c>
      <c r="AA62">
        <v>77</v>
      </c>
      <c r="AB62">
        <v>25</v>
      </c>
      <c r="AC62" t="s">
        <v>64</v>
      </c>
      <c r="AE62" t="s">
        <v>65</v>
      </c>
      <c r="AF62" t="s">
        <v>66</v>
      </c>
      <c r="AG62" s="2">
        <v>44257</v>
      </c>
      <c r="AH62" s="1">
        <v>0.60052083333333328</v>
      </c>
      <c r="AI62" t="s">
        <v>68</v>
      </c>
      <c r="AJ62" t="s">
        <v>69</v>
      </c>
      <c r="AO62">
        <v>7.3</v>
      </c>
      <c r="AP62">
        <v>40.6</v>
      </c>
      <c r="AQ62">
        <v>19.2</v>
      </c>
      <c r="AR62">
        <v>1.8</v>
      </c>
      <c r="AS62">
        <v>36.6</v>
      </c>
      <c r="AT62">
        <v>76.8</v>
      </c>
      <c r="AY62">
        <v>2.36</v>
      </c>
      <c r="AZ62" t="s">
        <v>280</v>
      </c>
      <c r="BB62" t="s">
        <v>280</v>
      </c>
      <c r="BD62" t="s">
        <v>68</v>
      </c>
      <c r="BE62" t="s">
        <v>324</v>
      </c>
      <c r="BF62" t="s">
        <v>325</v>
      </c>
      <c r="BG62" t="s">
        <v>326</v>
      </c>
      <c r="BH62">
        <v>0</v>
      </c>
      <c r="BI62">
        <v>0</v>
      </c>
      <c r="BJ62">
        <v>1</v>
      </c>
      <c r="BK62" t="s">
        <v>327</v>
      </c>
      <c r="BL62">
        <v>8.8620000000000001</v>
      </c>
      <c r="BN62" t="s">
        <v>294</v>
      </c>
      <c r="BO62" s="1">
        <v>0.53390046296296301</v>
      </c>
      <c r="BP62" s="3">
        <f t="shared" si="4"/>
        <v>1.0011073388578591</v>
      </c>
      <c r="BQ62" s="3">
        <f t="shared" si="5"/>
        <v>1.0037178039878949</v>
      </c>
    </row>
    <row r="63" spans="1:69" hidden="1" x14ac:dyDescent="0.35">
      <c r="A63">
        <v>61</v>
      </c>
      <c r="B63">
        <v>3926</v>
      </c>
      <c r="D63">
        <v>24</v>
      </c>
      <c r="E63">
        <v>2</v>
      </c>
      <c r="G63">
        <v>16698.5</v>
      </c>
      <c r="I63" t="s">
        <v>62</v>
      </c>
      <c r="L63" t="s">
        <v>279</v>
      </c>
      <c r="M63">
        <v>11.4</v>
      </c>
      <c r="N63">
        <v>39.200000000000003</v>
      </c>
      <c r="O63">
        <v>10.8</v>
      </c>
      <c r="P63" s="3">
        <f t="shared" si="0"/>
        <v>0.94736842105263164</v>
      </c>
      <c r="Q63">
        <v>31.7</v>
      </c>
      <c r="R63" s="3">
        <f t="shared" si="1"/>
        <v>0.80867346938775497</v>
      </c>
      <c r="S63">
        <v>270</v>
      </c>
      <c r="T63">
        <v>9.0890000000000004</v>
      </c>
      <c r="U63">
        <v>38.83</v>
      </c>
      <c r="V63">
        <v>8.6259999999999994</v>
      </c>
      <c r="W63" s="3">
        <f t="shared" si="2"/>
        <v>0.94905930245351511</v>
      </c>
      <c r="X63">
        <v>31.46</v>
      </c>
      <c r="Y63" s="3">
        <f t="shared" si="3"/>
        <v>0.81019830028328621</v>
      </c>
      <c r="Z63">
        <v>271.3</v>
      </c>
      <c r="AA63">
        <v>76.900000000000006</v>
      </c>
      <c r="AB63">
        <v>25.2</v>
      </c>
      <c r="AC63" t="s">
        <v>64</v>
      </c>
      <c r="AE63" t="s">
        <v>65</v>
      </c>
      <c r="AF63" t="s">
        <v>66</v>
      </c>
      <c r="AG63" s="2">
        <v>44257</v>
      </c>
      <c r="AH63" s="1">
        <v>0.60516203703703708</v>
      </c>
      <c r="AI63" t="s">
        <v>68</v>
      </c>
      <c r="AJ63" t="s">
        <v>69</v>
      </c>
      <c r="AO63">
        <v>7.3</v>
      </c>
      <c r="AP63">
        <v>40.5</v>
      </c>
      <c r="AQ63">
        <v>19.2</v>
      </c>
      <c r="AR63">
        <v>1.8</v>
      </c>
      <c r="AS63">
        <v>36.6</v>
      </c>
      <c r="AT63">
        <v>76.8</v>
      </c>
      <c r="AY63">
        <v>2.36</v>
      </c>
      <c r="AZ63" t="s">
        <v>280</v>
      </c>
      <c r="BB63" t="s">
        <v>280</v>
      </c>
      <c r="BD63" t="s">
        <v>68</v>
      </c>
      <c r="BE63" t="s">
        <v>328</v>
      </c>
      <c r="BF63" t="s">
        <v>329</v>
      </c>
      <c r="BG63" t="s">
        <v>330</v>
      </c>
      <c r="BH63">
        <v>0</v>
      </c>
      <c r="BI63">
        <v>0</v>
      </c>
      <c r="BJ63">
        <v>1</v>
      </c>
      <c r="BK63" t="s">
        <v>331</v>
      </c>
      <c r="BL63">
        <v>8.8620000000000001</v>
      </c>
      <c r="BM63">
        <v>8.8620000000000001</v>
      </c>
      <c r="BN63" s="2">
        <v>43164</v>
      </c>
      <c r="BO63" s="1">
        <v>0.45620370370370372</v>
      </c>
      <c r="BP63" s="3">
        <f t="shared" si="4"/>
        <v>1.0017848192564882</v>
      </c>
      <c r="BQ63" s="3">
        <f t="shared" si="5"/>
        <v>1.0018855953029913</v>
      </c>
    </row>
    <row r="64" spans="1:69" hidden="1" x14ac:dyDescent="0.35">
      <c r="A64">
        <v>62</v>
      </c>
      <c r="B64">
        <v>3503</v>
      </c>
      <c r="D64">
        <v>24</v>
      </c>
      <c r="E64">
        <v>2</v>
      </c>
      <c r="G64">
        <v>16698.5</v>
      </c>
      <c r="I64" t="s">
        <v>62</v>
      </c>
      <c r="L64" t="s">
        <v>289</v>
      </c>
      <c r="M64">
        <v>11.4</v>
      </c>
      <c r="N64">
        <v>39.200000000000003</v>
      </c>
      <c r="O64">
        <v>10.8</v>
      </c>
      <c r="P64" s="3">
        <f t="shared" si="0"/>
        <v>0.94736842105263164</v>
      </c>
      <c r="Q64">
        <v>31.7</v>
      </c>
      <c r="R64" s="3">
        <f t="shared" si="1"/>
        <v>0.80867346938775497</v>
      </c>
      <c r="S64">
        <v>270</v>
      </c>
      <c r="T64">
        <v>9.0519999999999996</v>
      </c>
      <c r="U64">
        <v>38.590000000000003</v>
      </c>
      <c r="V64">
        <v>8.593</v>
      </c>
      <c r="W64" s="3">
        <f t="shared" si="2"/>
        <v>0.94929297392841361</v>
      </c>
      <c r="X64">
        <v>31.17</v>
      </c>
      <c r="Y64" s="3">
        <f t="shared" si="3"/>
        <v>0.80772220782586157</v>
      </c>
      <c r="Z64">
        <v>267.8</v>
      </c>
      <c r="AA64">
        <v>76.7</v>
      </c>
      <c r="AB64">
        <v>25.3</v>
      </c>
      <c r="AC64" t="s">
        <v>64</v>
      </c>
      <c r="AE64" t="s">
        <v>65</v>
      </c>
      <c r="AF64" t="s">
        <v>66</v>
      </c>
      <c r="AG64" s="2">
        <v>44257</v>
      </c>
      <c r="AH64" s="1">
        <v>0.6272106481481482</v>
      </c>
      <c r="AI64" t="s">
        <v>68</v>
      </c>
      <c r="AJ64" t="s">
        <v>69</v>
      </c>
      <c r="AO64">
        <v>7.3</v>
      </c>
      <c r="AP64">
        <v>40.4</v>
      </c>
      <c r="AQ64">
        <v>19.2</v>
      </c>
      <c r="AR64">
        <v>1.8</v>
      </c>
      <c r="AS64">
        <v>36.4</v>
      </c>
      <c r="AT64">
        <v>76.8</v>
      </c>
      <c r="AY64">
        <v>2.36</v>
      </c>
      <c r="AZ64" t="s">
        <v>227</v>
      </c>
      <c r="BB64" t="s">
        <v>227</v>
      </c>
      <c r="BD64" t="s">
        <v>68</v>
      </c>
      <c r="BE64" t="s">
        <v>332</v>
      </c>
      <c r="BF64" t="s">
        <v>333</v>
      </c>
      <c r="BG64" t="s">
        <v>334</v>
      </c>
      <c r="BH64">
        <v>0</v>
      </c>
      <c r="BI64">
        <v>0</v>
      </c>
      <c r="BJ64">
        <v>1</v>
      </c>
      <c r="BK64" t="s">
        <v>335</v>
      </c>
      <c r="BL64">
        <v>8.8620000000000001</v>
      </c>
      <c r="BN64" t="s">
        <v>294</v>
      </c>
      <c r="BO64" s="1">
        <v>0.49152777777777779</v>
      </c>
      <c r="BP64" s="3">
        <f t="shared" si="4"/>
        <v>1.0020314724799921</v>
      </c>
      <c r="BQ64" s="3">
        <f t="shared" si="5"/>
        <v>0.99882367655437787</v>
      </c>
    </row>
    <row r="65" spans="1:69" hidden="1" x14ac:dyDescent="0.35">
      <c r="A65">
        <v>63</v>
      </c>
      <c r="B65">
        <v>3930</v>
      </c>
      <c r="D65">
        <v>24</v>
      </c>
      <c r="E65">
        <v>2</v>
      </c>
      <c r="G65">
        <v>16698.5</v>
      </c>
      <c r="I65" t="s">
        <v>62</v>
      </c>
      <c r="L65" t="s">
        <v>279</v>
      </c>
      <c r="M65">
        <v>11.4</v>
      </c>
      <c r="N65">
        <v>39.200000000000003</v>
      </c>
      <c r="O65">
        <v>10.8</v>
      </c>
      <c r="P65" s="3">
        <f t="shared" si="0"/>
        <v>0.94736842105263164</v>
      </c>
      <c r="Q65">
        <v>31.7</v>
      </c>
      <c r="R65" s="3">
        <f t="shared" si="1"/>
        <v>0.80867346938775497</v>
      </c>
      <c r="S65">
        <v>270</v>
      </c>
      <c r="T65">
        <v>9.0389999999999997</v>
      </c>
      <c r="U65">
        <v>38.58</v>
      </c>
      <c r="V65">
        <v>8.577</v>
      </c>
      <c r="W65" s="3">
        <f t="shared" si="2"/>
        <v>0.94888815134417526</v>
      </c>
      <c r="X65">
        <v>31.18</v>
      </c>
      <c r="Y65" s="3">
        <f t="shared" si="3"/>
        <v>0.8081907724209435</v>
      </c>
      <c r="Z65">
        <v>267.39999999999998</v>
      </c>
      <c r="AA65">
        <v>76.7</v>
      </c>
      <c r="AB65">
        <v>24.9</v>
      </c>
      <c r="AC65" t="s">
        <v>64</v>
      </c>
      <c r="AE65" t="s">
        <v>65</v>
      </c>
      <c r="AF65" t="s">
        <v>66</v>
      </c>
      <c r="AG65" s="2">
        <v>44257</v>
      </c>
      <c r="AH65" s="1">
        <v>0.52924768518518517</v>
      </c>
      <c r="AI65" t="s">
        <v>68</v>
      </c>
      <c r="AJ65" t="s">
        <v>69</v>
      </c>
      <c r="AO65">
        <v>7.3</v>
      </c>
      <c r="AP65">
        <v>40.299999999999997</v>
      </c>
      <c r="AQ65">
        <v>19.2</v>
      </c>
      <c r="AR65">
        <v>1.8</v>
      </c>
      <c r="AS65">
        <v>36.4</v>
      </c>
      <c r="AT65">
        <v>76.8</v>
      </c>
      <c r="AY65">
        <v>2.36</v>
      </c>
      <c r="AZ65" t="s">
        <v>280</v>
      </c>
      <c r="BB65" t="s">
        <v>280</v>
      </c>
      <c r="BD65" t="s">
        <v>68</v>
      </c>
      <c r="BE65" t="s">
        <v>336</v>
      </c>
      <c r="BF65" t="s">
        <v>337</v>
      </c>
      <c r="BG65" t="s">
        <v>338</v>
      </c>
      <c r="BH65">
        <v>0</v>
      </c>
      <c r="BI65">
        <v>0</v>
      </c>
      <c r="BJ65">
        <v>1</v>
      </c>
      <c r="BK65" t="s">
        <v>339</v>
      </c>
      <c r="BL65">
        <v>8.8620000000000001</v>
      </c>
      <c r="BM65">
        <v>8.8620000000000001</v>
      </c>
      <c r="BN65" s="2">
        <v>43164</v>
      </c>
      <c r="BO65" s="1">
        <v>0.50605324074074076</v>
      </c>
      <c r="BP65" s="3">
        <f t="shared" si="4"/>
        <v>1.001604159752185</v>
      </c>
      <c r="BQ65" s="3">
        <f t="shared" si="5"/>
        <v>0.99940310028078838</v>
      </c>
    </row>
    <row r="66" spans="1:69" hidden="1" x14ac:dyDescent="0.35">
      <c r="A66">
        <v>64</v>
      </c>
      <c r="B66">
        <v>3931</v>
      </c>
      <c r="D66">
        <v>24</v>
      </c>
      <c r="E66">
        <v>2</v>
      </c>
      <c r="G66">
        <v>16698.5</v>
      </c>
      <c r="I66" t="s">
        <v>62</v>
      </c>
      <c r="L66" t="s">
        <v>279</v>
      </c>
      <c r="M66">
        <v>11.4</v>
      </c>
      <c r="N66">
        <v>39.200000000000003</v>
      </c>
      <c r="O66">
        <v>10.8</v>
      </c>
      <c r="P66" s="3">
        <f t="shared" si="0"/>
        <v>0.94736842105263164</v>
      </c>
      <c r="Q66">
        <v>31.7</v>
      </c>
      <c r="R66" s="3">
        <f t="shared" si="1"/>
        <v>0.80867346938775497</v>
      </c>
      <c r="S66">
        <v>270</v>
      </c>
      <c r="T66">
        <v>9.1129999999999995</v>
      </c>
      <c r="U66">
        <v>38.93</v>
      </c>
      <c r="V66">
        <v>8.6300000000000008</v>
      </c>
      <c r="W66" s="3">
        <f t="shared" si="2"/>
        <v>0.94699879293317257</v>
      </c>
      <c r="X66">
        <v>31.6</v>
      </c>
      <c r="Y66" s="3">
        <f t="shared" si="3"/>
        <v>0.81171333162085801</v>
      </c>
      <c r="Z66">
        <v>272.7</v>
      </c>
      <c r="AA66">
        <v>76.900000000000006</v>
      </c>
      <c r="AB66">
        <v>24.9</v>
      </c>
      <c r="AC66" t="s">
        <v>64</v>
      </c>
      <c r="AE66" t="s">
        <v>65</v>
      </c>
      <c r="AF66" t="s">
        <v>66</v>
      </c>
      <c r="AG66" s="2">
        <v>44257</v>
      </c>
      <c r="AH66" s="1">
        <v>0.63619212962962968</v>
      </c>
      <c r="AI66" t="s">
        <v>68</v>
      </c>
      <c r="AJ66" t="s">
        <v>69</v>
      </c>
      <c r="AO66">
        <v>7.3</v>
      </c>
      <c r="AP66">
        <v>40.799999999999997</v>
      </c>
      <c r="AQ66">
        <v>19.2</v>
      </c>
      <c r="AR66">
        <v>1.8</v>
      </c>
      <c r="AS66">
        <v>37</v>
      </c>
      <c r="AT66">
        <v>76.8</v>
      </c>
      <c r="AY66">
        <v>2.36</v>
      </c>
      <c r="AZ66" t="s">
        <v>227</v>
      </c>
      <c r="BB66" t="s">
        <v>227</v>
      </c>
      <c r="BD66" t="s">
        <v>68</v>
      </c>
      <c r="BE66" t="s">
        <v>340</v>
      </c>
      <c r="BF66" t="s">
        <v>341</v>
      </c>
      <c r="BG66" t="s">
        <v>342</v>
      </c>
      <c r="BH66">
        <v>0</v>
      </c>
      <c r="BI66">
        <v>0</v>
      </c>
      <c r="BJ66">
        <v>1</v>
      </c>
      <c r="BK66" t="s">
        <v>343</v>
      </c>
      <c r="BL66">
        <v>8.8620000000000001</v>
      </c>
      <c r="BM66">
        <v>8.8620000000000001</v>
      </c>
      <c r="BN66" s="2">
        <v>43164</v>
      </c>
      <c r="BO66" s="1">
        <v>0.51326388888888885</v>
      </c>
      <c r="BP66" s="3">
        <f t="shared" si="4"/>
        <v>0.99960983698501549</v>
      </c>
      <c r="BQ66" s="3">
        <f t="shared" si="5"/>
        <v>1.0037590725406196</v>
      </c>
    </row>
    <row r="67" spans="1:69" hidden="1" x14ac:dyDescent="0.35">
      <c r="A67">
        <v>65</v>
      </c>
      <c r="B67">
        <v>3927</v>
      </c>
      <c r="D67">
        <v>24</v>
      </c>
      <c r="E67">
        <v>2</v>
      </c>
      <c r="G67">
        <v>16698.5</v>
      </c>
      <c r="I67" t="s">
        <v>62</v>
      </c>
      <c r="L67" t="s">
        <v>279</v>
      </c>
      <c r="M67">
        <v>11.4</v>
      </c>
      <c r="N67">
        <v>39.200000000000003</v>
      </c>
      <c r="O67">
        <v>10.8</v>
      </c>
      <c r="P67" s="3">
        <f t="shared" ref="P67:P130" si="6">O67/M67</f>
        <v>0.94736842105263164</v>
      </c>
      <c r="Q67">
        <v>31.7</v>
      </c>
      <c r="R67" s="3">
        <f t="shared" ref="R67:R130" si="7">Q67/N67</f>
        <v>0.80867346938775497</v>
      </c>
      <c r="S67">
        <v>270</v>
      </c>
      <c r="T67">
        <v>9.07</v>
      </c>
      <c r="U67">
        <v>38.83</v>
      </c>
      <c r="V67">
        <v>8.61</v>
      </c>
      <c r="W67" s="3">
        <f t="shared" ref="W67:W130" si="8">V67/T67</f>
        <v>0.94928335170893041</v>
      </c>
      <c r="X67">
        <v>31.53</v>
      </c>
      <c r="Y67" s="3">
        <f t="shared" ref="Y67:Y130" si="9">X67/U67</f>
        <v>0.81200103013134184</v>
      </c>
      <c r="Z67">
        <v>271.5</v>
      </c>
      <c r="AA67">
        <v>77.099999999999994</v>
      </c>
      <c r="AB67">
        <v>25.2</v>
      </c>
      <c r="AC67" t="s">
        <v>64</v>
      </c>
      <c r="AE67" t="s">
        <v>65</v>
      </c>
      <c r="AF67" t="s">
        <v>66</v>
      </c>
      <c r="AG67" s="2">
        <v>44257</v>
      </c>
      <c r="AH67" s="1">
        <v>0.63094907407407408</v>
      </c>
      <c r="AI67" t="s">
        <v>68</v>
      </c>
      <c r="AJ67" t="s">
        <v>69</v>
      </c>
      <c r="AO67">
        <v>7.3</v>
      </c>
      <c r="AP67">
        <v>40.6</v>
      </c>
      <c r="AQ67">
        <v>19.2</v>
      </c>
      <c r="AR67">
        <v>1.8</v>
      </c>
      <c r="AS67">
        <v>36.700000000000003</v>
      </c>
      <c r="AT67">
        <v>76.8</v>
      </c>
      <c r="AY67">
        <v>2.36</v>
      </c>
      <c r="AZ67" t="s">
        <v>227</v>
      </c>
      <c r="BB67" t="s">
        <v>227</v>
      </c>
      <c r="BD67" t="s">
        <v>68</v>
      </c>
      <c r="BE67" t="s">
        <v>344</v>
      </c>
      <c r="BF67" t="s">
        <v>345</v>
      </c>
      <c r="BG67" t="s">
        <v>346</v>
      </c>
      <c r="BH67">
        <v>0</v>
      </c>
      <c r="BI67">
        <v>0</v>
      </c>
      <c r="BJ67">
        <v>1</v>
      </c>
      <c r="BK67" t="s">
        <v>347</v>
      </c>
      <c r="BL67">
        <v>8.8620000000000001</v>
      </c>
      <c r="BM67">
        <v>8.8620000000000001</v>
      </c>
      <c r="BN67" s="2">
        <v>43164</v>
      </c>
      <c r="BO67" s="1">
        <v>0.47098379629629628</v>
      </c>
      <c r="BP67" s="3">
        <f t="shared" ref="BP67:BP130" si="10">W67/P67</f>
        <v>1.0020213156927598</v>
      </c>
      <c r="BQ67" s="3">
        <f t="shared" ref="BQ67:BQ130" si="11">Y67/R67</f>
        <v>1.004114838522038</v>
      </c>
    </row>
    <row r="68" spans="1:69" hidden="1" x14ac:dyDescent="0.35">
      <c r="A68">
        <v>66</v>
      </c>
      <c r="B68">
        <v>3924</v>
      </c>
      <c r="D68">
        <v>24</v>
      </c>
      <c r="E68">
        <v>2</v>
      </c>
      <c r="G68">
        <v>16698.5</v>
      </c>
      <c r="I68" t="s">
        <v>62</v>
      </c>
      <c r="L68" t="s">
        <v>279</v>
      </c>
      <c r="M68">
        <v>11.4</v>
      </c>
      <c r="N68">
        <v>39.200000000000003</v>
      </c>
      <c r="O68">
        <v>10.8</v>
      </c>
      <c r="P68" s="3">
        <f t="shared" si="6"/>
        <v>0.94736842105263164</v>
      </c>
      <c r="Q68">
        <v>31.7</v>
      </c>
      <c r="R68" s="3">
        <f t="shared" si="7"/>
        <v>0.80867346938775497</v>
      </c>
      <c r="S68">
        <v>270</v>
      </c>
      <c r="T68">
        <v>9.1419999999999995</v>
      </c>
      <c r="U68">
        <v>38.83</v>
      </c>
      <c r="V68">
        <v>8.6850000000000005</v>
      </c>
      <c r="W68" s="3">
        <f t="shared" si="8"/>
        <v>0.9500109385254869</v>
      </c>
      <c r="X68">
        <v>31.49</v>
      </c>
      <c r="Y68" s="3">
        <f t="shared" si="9"/>
        <v>0.81097089878959572</v>
      </c>
      <c r="Z68">
        <v>273.5</v>
      </c>
      <c r="AA68">
        <v>77.099999999999994</v>
      </c>
      <c r="AB68">
        <v>25.2</v>
      </c>
      <c r="AC68" t="s">
        <v>64</v>
      </c>
      <c r="AE68" t="s">
        <v>65</v>
      </c>
      <c r="AF68" t="s">
        <v>66</v>
      </c>
      <c r="AG68" s="2">
        <v>44257</v>
      </c>
      <c r="AH68" s="1">
        <v>0.63962962962962966</v>
      </c>
      <c r="AI68" t="s">
        <v>68</v>
      </c>
      <c r="AJ68" t="s">
        <v>69</v>
      </c>
      <c r="AO68">
        <v>7.3</v>
      </c>
      <c r="AP68">
        <v>40.799999999999997</v>
      </c>
      <c r="AQ68">
        <v>19.2</v>
      </c>
      <c r="AR68">
        <v>1.8</v>
      </c>
      <c r="AS68">
        <v>36.9</v>
      </c>
      <c r="AT68">
        <v>76.8</v>
      </c>
      <c r="AY68">
        <v>2.36</v>
      </c>
      <c r="AZ68" t="s">
        <v>227</v>
      </c>
      <c r="BB68" t="s">
        <v>227</v>
      </c>
      <c r="BD68" t="s">
        <v>68</v>
      </c>
      <c r="BE68" t="s">
        <v>348</v>
      </c>
      <c r="BF68" t="s">
        <v>349</v>
      </c>
      <c r="BG68" t="s">
        <v>350</v>
      </c>
      <c r="BH68">
        <v>0</v>
      </c>
      <c r="BI68">
        <v>0</v>
      </c>
      <c r="BJ68">
        <v>1</v>
      </c>
      <c r="BK68" t="s">
        <v>351</v>
      </c>
      <c r="BL68">
        <v>8.8620000000000001</v>
      </c>
      <c r="BM68">
        <v>8.8620000000000001</v>
      </c>
      <c r="BN68" s="2">
        <v>43164</v>
      </c>
      <c r="BO68" s="1">
        <v>0.43008101851851854</v>
      </c>
      <c r="BP68" s="3">
        <f t="shared" si="10"/>
        <v>1.002789323999125</v>
      </c>
      <c r="BQ68" s="3">
        <f t="shared" si="11"/>
        <v>1.0028409852540112</v>
      </c>
    </row>
    <row r="69" spans="1:69" hidden="1" x14ac:dyDescent="0.35">
      <c r="A69">
        <v>67</v>
      </c>
      <c r="B69">
        <v>3925</v>
      </c>
      <c r="D69">
        <v>24</v>
      </c>
      <c r="E69">
        <v>2</v>
      </c>
      <c r="G69">
        <v>16698.5</v>
      </c>
      <c r="I69" t="s">
        <v>62</v>
      </c>
      <c r="L69" t="s">
        <v>279</v>
      </c>
      <c r="M69">
        <v>11.4</v>
      </c>
      <c r="N69">
        <v>39.200000000000003</v>
      </c>
      <c r="O69">
        <v>10.8</v>
      </c>
      <c r="P69" s="3">
        <f t="shared" si="6"/>
        <v>0.94736842105263164</v>
      </c>
      <c r="Q69">
        <v>31.7</v>
      </c>
      <c r="R69" s="3">
        <f t="shared" si="7"/>
        <v>0.80867346938775497</v>
      </c>
      <c r="S69">
        <v>270</v>
      </c>
      <c r="T69">
        <v>9.07</v>
      </c>
      <c r="U69">
        <v>38.72</v>
      </c>
      <c r="V69">
        <v>8.61</v>
      </c>
      <c r="W69" s="3">
        <f t="shared" si="8"/>
        <v>0.94928335170893041</v>
      </c>
      <c r="X69">
        <v>31.31</v>
      </c>
      <c r="Y69" s="3">
        <f t="shared" si="9"/>
        <v>0.80862603305785119</v>
      </c>
      <c r="Z69">
        <v>269.5</v>
      </c>
      <c r="AA69">
        <v>76.8</v>
      </c>
      <c r="AB69">
        <v>25.4</v>
      </c>
      <c r="AC69" t="s">
        <v>64</v>
      </c>
      <c r="AE69" t="s">
        <v>65</v>
      </c>
      <c r="AF69" t="s">
        <v>66</v>
      </c>
      <c r="AG69" s="2">
        <v>44257</v>
      </c>
      <c r="AH69" s="1">
        <v>0.6428935185185185</v>
      </c>
      <c r="AI69" t="s">
        <v>68</v>
      </c>
      <c r="AJ69" t="s">
        <v>69</v>
      </c>
      <c r="AO69">
        <v>7.3</v>
      </c>
      <c r="AP69">
        <v>40.6</v>
      </c>
      <c r="AQ69">
        <v>19.2</v>
      </c>
      <c r="AR69">
        <v>1.8</v>
      </c>
      <c r="AS69">
        <v>36.700000000000003</v>
      </c>
      <c r="AT69">
        <v>76.8</v>
      </c>
      <c r="AY69">
        <v>2.36</v>
      </c>
      <c r="AZ69" t="s">
        <v>227</v>
      </c>
      <c r="BB69" t="s">
        <v>227</v>
      </c>
      <c r="BD69" t="s">
        <v>68</v>
      </c>
      <c r="BE69" t="s">
        <v>352</v>
      </c>
      <c r="BF69" t="s">
        <v>353</v>
      </c>
      <c r="BG69" t="s">
        <v>354</v>
      </c>
      <c r="BH69">
        <v>0</v>
      </c>
      <c r="BI69">
        <v>0</v>
      </c>
      <c r="BJ69">
        <v>1</v>
      </c>
      <c r="BK69" t="s">
        <v>355</v>
      </c>
      <c r="BL69">
        <v>8.8620000000000001</v>
      </c>
      <c r="BM69">
        <v>8.8620000000000001</v>
      </c>
      <c r="BN69" s="2">
        <v>43164</v>
      </c>
      <c r="BO69" s="1">
        <v>0.4487962962962963</v>
      </c>
      <c r="BP69" s="3">
        <f t="shared" si="10"/>
        <v>1.0020213156927598</v>
      </c>
      <c r="BQ69" s="3">
        <f t="shared" si="11"/>
        <v>0.99994134056365214</v>
      </c>
    </row>
    <row r="70" spans="1:69" hidden="1" x14ac:dyDescent="0.35">
      <c r="A70">
        <v>68</v>
      </c>
      <c r="B70">
        <v>4765</v>
      </c>
      <c r="D70">
        <v>24</v>
      </c>
      <c r="E70">
        <v>3</v>
      </c>
      <c r="G70">
        <v>16693.599999999999</v>
      </c>
      <c r="I70" t="s">
        <v>62</v>
      </c>
      <c r="L70" t="s">
        <v>183</v>
      </c>
      <c r="M70">
        <v>12</v>
      </c>
      <c r="N70">
        <v>40.200000000000003</v>
      </c>
      <c r="O70">
        <v>11.4</v>
      </c>
      <c r="P70" s="3">
        <f t="shared" si="6"/>
        <v>0.95000000000000007</v>
      </c>
      <c r="Q70">
        <v>32.4</v>
      </c>
      <c r="R70" s="3">
        <f t="shared" si="7"/>
        <v>0.80597014925373123</v>
      </c>
      <c r="S70">
        <v>290</v>
      </c>
      <c r="T70">
        <v>9.44</v>
      </c>
      <c r="U70">
        <v>39.950000000000003</v>
      </c>
      <c r="V70">
        <v>8.9770000000000003</v>
      </c>
      <c r="W70" s="3">
        <f t="shared" si="8"/>
        <v>0.95095338983050859</v>
      </c>
      <c r="X70">
        <v>31.94</v>
      </c>
      <c r="Y70" s="3">
        <f t="shared" si="9"/>
        <v>0.79949937421777217</v>
      </c>
      <c r="Z70">
        <v>286.8</v>
      </c>
      <c r="AA70">
        <v>76</v>
      </c>
      <c r="AB70">
        <v>25.3</v>
      </c>
      <c r="AC70" t="s">
        <v>64</v>
      </c>
      <c r="AE70" t="s">
        <v>65</v>
      </c>
      <c r="AF70" t="s">
        <v>66</v>
      </c>
      <c r="AG70" t="s">
        <v>280</v>
      </c>
      <c r="AH70" s="1">
        <v>0.48832175925925925</v>
      </c>
      <c r="AI70" t="s">
        <v>68</v>
      </c>
      <c r="AJ70" t="s">
        <v>69</v>
      </c>
      <c r="AO70">
        <v>7.6</v>
      </c>
      <c r="AP70">
        <v>41.7</v>
      </c>
      <c r="AQ70">
        <v>6.4</v>
      </c>
      <c r="AR70">
        <v>1.9</v>
      </c>
      <c r="AS70">
        <v>37.6</v>
      </c>
      <c r="AT70">
        <v>38.4</v>
      </c>
      <c r="AY70">
        <v>2.36</v>
      </c>
      <c r="AZ70" s="2">
        <v>44199</v>
      </c>
      <c r="BB70" s="2">
        <v>44199</v>
      </c>
      <c r="BD70" t="s">
        <v>68</v>
      </c>
      <c r="BE70" t="s">
        <v>356</v>
      </c>
      <c r="BF70" t="s">
        <v>357</v>
      </c>
      <c r="BG70" t="s">
        <v>358</v>
      </c>
      <c r="BH70">
        <v>0</v>
      </c>
      <c r="BI70">
        <v>0</v>
      </c>
      <c r="BJ70">
        <v>1</v>
      </c>
      <c r="BK70" t="s">
        <v>359</v>
      </c>
      <c r="BL70">
        <v>8.8620000000000001</v>
      </c>
      <c r="BM70">
        <v>8.8620000000000001</v>
      </c>
      <c r="BN70" t="s">
        <v>280</v>
      </c>
      <c r="BO70" s="1">
        <v>0.48832175925925925</v>
      </c>
      <c r="BP70" s="3">
        <f t="shared" si="10"/>
        <v>1.0010035682426406</v>
      </c>
      <c r="BQ70" s="3">
        <f t="shared" si="11"/>
        <v>0.99197144578871743</v>
      </c>
    </row>
    <row r="71" spans="1:69" hidden="1" x14ac:dyDescent="0.35">
      <c r="A71">
        <v>69</v>
      </c>
      <c r="B71">
        <v>4760</v>
      </c>
      <c r="D71">
        <v>24</v>
      </c>
      <c r="E71">
        <v>3</v>
      </c>
      <c r="G71">
        <v>16693.599999999999</v>
      </c>
      <c r="I71" t="s">
        <v>62</v>
      </c>
      <c r="L71" t="s">
        <v>183</v>
      </c>
      <c r="M71">
        <v>12</v>
      </c>
      <c r="N71">
        <v>40.200000000000003</v>
      </c>
      <c r="O71">
        <v>11.4</v>
      </c>
      <c r="P71" s="3">
        <f t="shared" si="6"/>
        <v>0.95000000000000007</v>
      </c>
      <c r="Q71">
        <v>32.4</v>
      </c>
      <c r="R71" s="3">
        <f t="shared" si="7"/>
        <v>0.80597014925373123</v>
      </c>
      <c r="S71">
        <v>290</v>
      </c>
      <c r="T71">
        <v>9.4789999999999992</v>
      </c>
      <c r="U71">
        <v>40.03</v>
      </c>
      <c r="V71">
        <v>8.9969999999999999</v>
      </c>
      <c r="W71" s="3">
        <f t="shared" si="8"/>
        <v>0.94915075429897677</v>
      </c>
      <c r="X71">
        <v>31.97</v>
      </c>
      <c r="Y71" s="3">
        <f t="shared" si="9"/>
        <v>0.79865101174119402</v>
      </c>
      <c r="Z71">
        <v>287.60000000000002</v>
      </c>
      <c r="AA71">
        <v>75.8</v>
      </c>
      <c r="AB71">
        <v>24.8</v>
      </c>
      <c r="AC71" t="s">
        <v>64</v>
      </c>
      <c r="AE71" t="s">
        <v>65</v>
      </c>
      <c r="AF71" t="s">
        <v>66</v>
      </c>
      <c r="AG71" t="s">
        <v>280</v>
      </c>
      <c r="AH71" s="1">
        <v>0.43634259259259262</v>
      </c>
      <c r="AI71" t="s">
        <v>68</v>
      </c>
      <c r="AJ71" t="s">
        <v>69</v>
      </c>
      <c r="AO71">
        <v>7.6</v>
      </c>
      <c r="AP71">
        <v>41.9</v>
      </c>
      <c r="AQ71">
        <v>6.4</v>
      </c>
      <c r="AR71">
        <v>1.9</v>
      </c>
      <c r="AS71">
        <v>37.700000000000003</v>
      </c>
      <c r="AT71">
        <v>38.4</v>
      </c>
      <c r="AY71">
        <v>2.36</v>
      </c>
      <c r="AZ71" s="2">
        <v>44199</v>
      </c>
      <c r="BB71" s="2">
        <v>44199</v>
      </c>
      <c r="BD71" t="s">
        <v>68</v>
      </c>
      <c r="BE71" t="s">
        <v>360</v>
      </c>
      <c r="BF71" t="s">
        <v>361</v>
      </c>
      <c r="BG71" t="s">
        <v>362</v>
      </c>
      <c r="BH71">
        <v>0</v>
      </c>
      <c r="BI71">
        <v>0</v>
      </c>
      <c r="BJ71">
        <v>1</v>
      </c>
      <c r="BK71" t="s">
        <v>363</v>
      </c>
      <c r="BL71">
        <v>8.8620000000000001</v>
      </c>
      <c r="BM71">
        <v>8.8620000000000001</v>
      </c>
      <c r="BN71" t="s">
        <v>280</v>
      </c>
      <c r="BO71" s="1">
        <v>0.43634259259259262</v>
      </c>
      <c r="BP71" s="3">
        <f t="shared" si="10"/>
        <v>0.99910605715681755</v>
      </c>
      <c r="BQ71" s="3">
        <f t="shared" si="11"/>
        <v>0.99091884790111129</v>
      </c>
    </row>
    <row r="72" spans="1:69" hidden="1" x14ac:dyDescent="0.35">
      <c r="A72">
        <v>70</v>
      </c>
      <c r="B72">
        <v>4764</v>
      </c>
      <c r="D72">
        <v>24</v>
      </c>
      <c r="E72">
        <v>3</v>
      </c>
      <c r="G72">
        <v>16693.599999999999</v>
      </c>
      <c r="I72" t="s">
        <v>62</v>
      </c>
      <c r="L72" t="s">
        <v>183</v>
      </c>
      <c r="M72">
        <v>12</v>
      </c>
      <c r="N72">
        <v>40.200000000000003</v>
      </c>
      <c r="O72">
        <v>11.4</v>
      </c>
      <c r="P72" s="3">
        <f t="shared" si="6"/>
        <v>0.95000000000000007</v>
      </c>
      <c r="Q72">
        <v>32.4</v>
      </c>
      <c r="R72" s="3">
        <f t="shared" si="7"/>
        <v>0.80597014925373123</v>
      </c>
      <c r="S72">
        <v>290</v>
      </c>
      <c r="T72">
        <v>9.5090000000000003</v>
      </c>
      <c r="U72">
        <v>39.869999999999997</v>
      </c>
      <c r="V72">
        <v>8.98</v>
      </c>
      <c r="W72" s="3">
        <f t="shared" si="8"/>
        <v>0.94436849300662529</v>
      </c>
      <c r="X72">
        <v>31.92</v>
      </c>
      <c r="Y72" s="3">
        <f t="shared" si="9"/>
        <v>0.80060195635816411</v>
      </c>
      <c r="Z72">
        <v>286.60000000000002</v>
      </c>
      <c r="AA72">
        <v>75.599999999999994</v>
      </c>
      <c r="AB72">
        <v>25.1</v>
      </c>
      <c r="AC72" t="s">
        <v>64</v>
      </c>
      <c r="AE72" t="s">
        <v>65</v>
      </c>
      <c r="AF72" t="s">
        <v>66</v>
      </c>
      <c r="AG72" t="s">
        <v>280</v>
      </c>
      <c r="AH72" s="1">
        <v>0.48562499999999997</v>
      </c>
      <c r="AI72" t="s">
        <v>68</v>
      </c>
      <c r="AJ72" t="s">
        <v>69</v>
      </c>
      <c r="AO72">
        <v>7.6</v>
      </c>
      <c r="AP72">
        <v>41.9</v>
      </c>
      <c r="AQ72">
        <v>6.4</v>
      </c>
      <c r="AR72">
        <v>1.9</v>
      </c>
      <c r="AS72">
        <v>37.6</v>
      </c>
      <c r="AT72">
        <v>38.4</v>
      </c>
      <c r="AY72">
        <v>2.36</v>
      </c>
      <c r="AZ72" s="2">
        <v>44199</v>
      </c>
      <c r="BB72" s="2">
        <v>44199</v>
      </c>
      <c r="BD72" t="s">
        <v>68</v>
      </c>
      <c r="BE72" t="s">
        <v>364</v>
      </c>
      <c r="BF72" t="s">
        <v>365</v>
      </c>
      <c r="BG72" t="s">
        <v>366</v>
      </c>
      <c r="BH72">
        <v>0</v>
      </c>
      <c r="BI72">
        <v>0</v>
      </c>
      <c r="BJ72">
        <v>1</v>
      </c>
      <c r="BK72" t="s">
        <v>367</v>
      </c>
      <c r="BL72">
        <v>8.8620000000000001</v>
      </c>
      <c r="BM72">
        <v>8.8620000000000001</v>
      </c>
      <c r="BN72" t="s">
        <v>280</v>
      </c>
      <c r="BO72" s="1">
        <v>0.48562499999999997</v>
      </c>
      <c r="BP72" s="3">
        <f t="shared" si="10"/>
        <v>0.9940720979017108</v>
      </c>
      <c r="BQ72" s="3">
        <f t="shared" si="11"/>
        <v>0.99333946437031484</v>
      </c>
    </row>
    <row r="73" spans="1:69" hidden="1" x14ac:dyDescent="0.35">
      <c r="A73">
        <v>71</v>
      </c>
      <c r="B73">
        <v>10105</v>
      </c>
      <c r="D73">
        <v>24</v>
      </c>
      <c r="E73">
        <v>3</v>
      </c>
      <c r="G73">
        <v>16698.5</v>
      </c>
      <c r="I73" t="s">
        <v>62</v>
      </c>
      <c r="L73" t="s">
        <v>368</v>
      </c>
      <c r="M73">
        <v>12</v>
      </c>
      <c r="N73">
        <v>40.200000000000003</v>
      </c>
      <c r="O73">
        <v>11.4</v>
      </c>
      <c r="P73" s="3">
        <f t="shared" si="6"/>
        <v>0.95000000000000007</v>
      </c>
      <c r="Q73">
        <v>32.4</v>
      </c>
      <c r="R73" s="3">
        <f t="shared" si="7"/>
        <v>0.80597014925373123</v>
      </c>
      <c r="S73">
        <v>290</v>
      </c>
      <c r="T73">
        <v>9.4420000000000002</v>
      </c>
      <c r="U73">
        <v>39.869999999999997</v>
      </c>
      <c r="V73">
        <v>8.9949999999999992</v>
      </c>
      <c r="W73" s="3">
        <f t="shared" si="8"/>
        <v>0.95265833509849596</v>
      </c>
      <c r="X73">
        <v>31.96</v>
      </c>
      <c r="Y73" s="3">
        <f t="shared" si="9"/>
        <v>0.80160521695510412</v>
      </c>
      <c r="Z73">
        <v>287.5</v>
      </c>
      <c r="AA73">
        <v>76.400000000000006</v>
      </c>
      <c r="AB73">
        <v>25.4</v>
      </c>
      <c r="AC73" t="s">
        <v>64</v>
      </c>
      <c r="AE73" t="s">
        <v>65</v>
      </c>
      <c r="AF73" t="s">
        <v>66</v>
      </c>
      <c r="AG73" s="2">
        <v>44532</v>
      </c>
      <c r="AH73" s="1">
        <v>0.58925925925925926</v>
      </c>
      <c r="AI73" t="s">
        <v>68</v>
      </c>
      <c r="AJ73" t="s">
        <v>69</v>
      </c>
      <c r="AO73">
        <v>7.6</v>
      </c>
      <c r="AP73">
        <v>41.7</v>
      </c>
      <c r="AQ73">
        <v>6.4</v>
      </c>
      <c r="AR73">
        <v>1.9</v>
      </c>
      <c r="AS73">
        <v>37.6</v>
      </c>
      <c r="AT73">
        <v>38.4</v>
      </c>
      <c r="AY73">
        <v>2.36</v>
      </c>
      <c r="AZ73" s="2">
        <v>44199</v>
      </c>
      <c r="BB73" s="2">
        <v>44199</v>
      </c>
      <c r="BD73" t="s">
        <v>68</v>
      </c>
      <c r="BE73" t="s">
        <v>369</v>
      </c>
      <c r="BF73" t="s">
        <v>370</v>
      </c>
      <c r="BG73" t="s">
        <v>371</v>
      </c>
      <c r="BH73">
        <v>0</v>
      </c>
      <c r="BI73">
        <v>0</v>
      </c>
      <c r="BJ73">
        <v>1</v>
      </c>
      <c r="BK73" t="s">
        <v>372</v>
      </c>
      <c r="BL73">
        <v>8.8620000000000001</v>
      </c>
      <c r="BM73">
        <v>8.7140000000000004</v>
      </c>
      <c r="BN73" t="s">
        <v>373</v>
      </c>
      <c r="BO73" s="1">
        <v>0.55831018518518516</v>
      </c>
      <c r="BP73" s="3">
        <f t="shared" si="10"/>
        <v>1.0027982474721009</v>
      </c>
      <c r="BQ73" s="3">
        <f t="shared" si="11"/>
        <v>0.99458425066651823</v>
      </c>
    </row>
    <row r="74" spans="1:69" hidden="1" x14ac:dyDescent="0.35">
      <c r="A74">
        <v>72</v>
      </c>
      <c r="B74">
        <v>10196</v>
      </c>
      <c r="D74">
        <v>24</v>
      </c>
      <c r="E74">
        <v>3</v>
      </c>
      <c r="G74">
        <v>16698.5</v>
      </c>
      <c r="I74" t="s">
        <v>62</v>
      </c>
      <c r="L74" t="s">
        <v>374</v>
      </c>
      <c r="M74">
        <v>12</v>
      </c>
      <c r="N74">
        <v>40.200000000000003</v>
      </c>
      <c r="O74">
        <v>11.4</v>
      </c>
      <c r="P74" s="3">
        <f t="shared" si="6"/>
        <v>0.95000000000000007</v>
      </c>
      <c r="Q74">
        <v>32.4</v>
      </c>
      <c r="R74" s="3">
        <f t="shared" si="7"/>
        <v>0.80597014925373123</v>
      </c>
      <c r="S74">
        <v>290</v>
      </c>
      <c r="T74">
        <v>9.4580000000000002</v>
      </c>
      <c r="U74">
        <v>39.99</v>
      </c>
      <c r="V74">
        <v>8.9890000000000008</v>
      </c>
      <c r="W74" s="3">
        <f t="shared" si="8"/>
        <v>0.95041234933389729</v>
      </c>
      <c r="X74">
        <v>32.090000000000003</v>
      </c>
      <c r="Y74" s="3">
        <f t="shared" si="9"/>
        <v>0.80245061265316331</v>
      </c>
      <c r="Z74">
        <v>288.5</v>
      </c>
      <c r="AA74">
        <v>76.3</v>
      </c>
      <c r="AB74">
        <v>25.1</v>
      </c>
      <c r="AC74" t="s">
        <v>64</v>
      </c>
      <c r="AE74" t="s">
        <v>65</v>
      </c>
      <c r="AF74" t="s">
        <v>66</v>
      </c>
      <c r="AG74" s="2">
        <v>44532</v>
      </c>
      <c r="AH74" s="1">
        <v>0.56312499999999999</v>
      </c>
      <c r="AI74" t="s">
        <v>68</v>
      </c>
      <c r="AJ74" t="s">
        <v>69</v>
      </c>
      <c r="AO74">
        <v>7.6</v>
      </c>
      <c r="AP74">
        <v>41.9</v>
      </c>
      <c r="AQ74">
        <v>6.4</v>
      </c>
      <c r="AR74">
        <v>1.9</v>
      </c>
      <c r="AS74">
        <v>37.799999999999997</v>
      </c>
      <c r="AT74">
        <v>38.4</v>
      </c>
      <c r="AY74">
        <v>2.36</v>
      </c>
      <c r="AZ74" s="2">
        <v>44199</v>
      </c>
      <c r="BB74" s="2">
        <v>44199</v>
      </c>
      <c r="BD74" t="s">
        <v>68</v>
      </c>
      <c r="BE74" t="s">
        <v>375</v>
      </c>
      <c r="BF74" t="s">
        <v>376</v>
      </c>
      <c r="BG74" t="s">
        <v>377</v>
      </c>
      <c r="BH74">
        <v>0</v>
      </c>
      <c r="BI74">
        <v>0</v>
      </c>
      <c r="BJ74">
        <v>1</v>
      </c>
      <c r="BK74" t="s">
        <v>378</v>
      </c>
      <c r="BL74">
        <v>8.8620000000000001</v>
      </c>
      <c r="BN74" t="s">
        <v>379</v>
      </c>
      <c r="BO74" s="1">
        <v>0.67847222222222225</v>
      </c>
      <c r="BP74" s="3">
        <f t="shared" si="10"/>
        <v>1.0004340519304182</v>
      </c>
      <c r="BQ74" s="3">
        <f t="shared" si="11"/>
        <v>0.99563316755114717</v>
      </c>
    </row>
    <row r="75" spans="1:69" hidden="1" x14ac:dyDescent="0.35">
      <c r="A75">
        <v>73</v>
      </c>
      <c r="B75">
        <v>3401</v>
      </c>
      <c r="D75">
        <v>24</v>
      </c>
      <c r="E75">
        <v>3</v>
      </c>
      <c r="G75">
        <v>16698.5</v>
      </c>
      <c r="I75" t="s">
        <v>62</v>
      </c>
      <c r="L75" t="s">
        <v>380</v>
      </c>
      <c r="M75">
        <v>12</v>
      </c>
      <c r="N75">
        <v>40.200000000000003</v>
      </c>
      <c r="O75">
        <v>11.4</v>
      </c>
      <c r="P75" s="3">
        <f t="shared" si="6"/>
        <v>0.95000000000000007</v>
      </c>
      <c r="Q75">
        <v>32.4</v>
      </c>
      <c r="R75" s="3">
        <f t="shared" si="7"/>
        <v>0.80597014925373123</v>
      </c>
      <c r="S75">
        <v>290</v>
      </c>
      <c r="T75">
        <v>9.48</v>
      </c>
      <c r="U75">
        <v>39.880000000000003</v>
      </c>
      <c r="V75">
        <v>8.9659999999999993</v>
      </c>
      <c r="W75" s="3">
        <f t="shared" si="8"/>
        <v>0.94578059071729947</v>
      </c>
      <c r="X75">
        <v>32.1</v>
      </c>
      <c r="Y75" s="3">
        <f t="shared" si="9"/>
        <v>0.80491474423269804</v>
      </c>
      <c r="Z75">
        <v>287.8</v>
      </c>
      <c r="AA75">
        <v>76.099999999999994</v>
      </c>
      <c r="AB75">
        <v>24.8</v>
      </c>
      <c r="AC75" t="s">
        <v>64</v>
      </c>
      <c r="AE75" t="s">
        <v>65</v>
      </c>
      <c r="AF75" t="s">
        <v>66</v>
      </c>
      <c r="AG75" s="2">
        <v>44532</v>
      </c>
      <c r="AH75" s="1">
        <v>0.5930671296296296</v>
      </c>
      <c r="AI75" t="s">
        <v>68</v>
      </c>
      <c r="AJ75" t="s">
        <v>69</v>
      </c>
      <c r="AO75">
        <v>7.6</v>
      </c>
      <c r="AP75">
        <v>41.7</v>
      </c>
      <c r="AQ75">
        <v>6.4</v>
      </c>
      <c r="AR75">
        <v>1.9</v>
      </c>
      <c r="AS75">
        <v>37.6</v>
      </c>
      <c r="AT75">
        <v>38.4</v>
      </c>
      <c r="AY75">
        <v>2.36</v>
      </c>
      <c r="AZ75" s="2">
        <v>44199</v>
      </c>
      <c r="BB75" s="2">
        <v>44199</v>
      </c>
      <c r="BD75" t="s">
        <v>68</v>
      </c>
      <c r="BE75" t="s">
        <v>381</v>
      </c>
      <c r="BF75" t="s">
        <v>382</v>
      </c>
      <c r="BG75" t="s">
        <v>383</v>
      </c>
      <c r="BH75">
        <v>0</v>
      </c>
      <c r="BI75">
        <v>0</v>
      </c>
      <c r="BJ75">
        <v>1</v>
      </c>
      <c r="BK75" t="s">
        <v>384</v>
      </c>
      <c r="BL75">
        <v>8.8620000000000001</v>
      </c>
      <c r="BM75">
        <v>8.8620000000000001</v>
      </c>
      <c r="BN75" s="2">
        <v>43136</v>
      </c>
      <c r="BO75" s="1">
        <v>0.44491898148148146</v>
      </c>
      <c r="BP75" s="3">
        <f t="shared" si="10"/>
        <v>0.99555851654452565</v>
      </c>
      <c r="BQ75" s="3">
        <f t="shared" si="11"/>
        <v>0.99869051599242176</v>
      </c>
    </row>
    <row r="76" spans="1:69" hidden="1" x14ac:dyDescent="0.35">
      <c r="A76">
        <v>74</v>
      </c>
      <c r="B76">
        <v>4762</v>
      </c>
      <c r="D76">
        <v>24</v>
      </c>
      <c r="E76">
        <v>3</v>
      </c>
      <c r="G76">
        <v>16693.599999999999</v>
      </c>
      <c r="I76" t="s">
        <v>62</v>
      </c>
      <c r="L76" t="s">
        <v>183</v>
      </c>
      <c r="M76">
        <v>12</v>
      </c>
      <c r="N76">
        <v>40.200000000000003</v>
      </c>
      <c r="O76">
        <v>11.4</v>
      </c>
      <c r="P76" s="3">
        <f t="shared" si="6"/>
        <v>0.95000000000000007</v>
      </c>
      <c r="Q76">
        <v>32.4</v>
      </c>
      <c r="R76" s="3">
        <f t="shared" si="7"/>
        <v>0.80597014925373123</v>
      </c>
      <c r="S76">
        <v>290</v>
      </c>
      <c r="T76">
        <v>9.4429999999999996</v>
      </c>
      <c r="U76">
        <v>39.9</v>
      </c>
      <c r="V76">
        <v>8.9890000000000008</v>
      </c>
      <c r="W76" s="3">
        <f t="shared" si="8"/>
        <v>0.95192205866779633</v>
      </c>
      <c r="X76">
        <v>31.88</v>
      </c>
      <c r="Y76" s="3">
        <f t="shared" si="9"/>
        <v>0.79899749373433582</v>
      </c>
      <c r="Z76">
        <v>286.5</v>
      </c>
      <c r="AA76">
        <v>76.099999999999994</v>
      </c>
      <c r="AB76">
        <v>25</v>
      </c>
      <c r="AC76" t="s">
        <v>64</v>
      </c>
      <c r="AE76" t="s">
        <v>65</v>
      </c>
      <c r="AF76" t="s">
        <v>66</v>
      </c>
      <c r="AG76" t="s">
        <v>280</v>
      </c>
      <c r="AH76" s="1">
        <v>0.47984953703703703</v>
      </c>
      <c r="AI76" t="s">
        <v>68</v>
      </c>
      <c r="AJ76" t="s">
        <v>69</v>
      </c>
      <c r="AO76">
        <v>7.6</v>
      </c>
      <c r="AP76">
        <v>41.7</v>
      </c>
      <c r="AQ76">
        <v>6.4</v>
      </c>
      <c r="AR76">
        <v>1.9</v>
      </c>
      <c r="AS76">
        <v>37.6</v>
      </c>
      <c r="AT76">
        <v>38.4</v>
      </c>
      <c r="AY76">
        <v>2.36</v>
      </c>
      <c r="AZ76" s="2">
        <v>44199</v>
      </c>
      <c r="BB76" s="2">
        <v>44199</v>
      </c>
      <c r="BD76" t="s">
        <v>68</v>
      </c>
      <c r="BE76" t="s">
        <v>385</v>
      </c>
      <c r="BF76" t="s">
        <v>386</v>
      </c>
      <c r="BG76" t="s">
        <v>387</v>
      </c>
      <c r="BH76">
        <v>0</v>
      </c>
      <c r="BI76">
        <v>0</v>
      </c>
      <c r="BJ76">
        <v>1</v>
      </c>
      <c r="BK76" t="s">
        <v>388</v>
      </c>
      <c r="BL76">
        <v>8.8620000000000001</v>
      </c>
      <c r="BM76">
        <v>8.8620000000000001</v>
      </c>
      <c r="BN76" t="s">
        <v>280</v>
      </c>
      <c r="BO76" s="1">
        <v>0.47984953703703703</v>
      </c>
      <c r="BP76" s="3">
        <f t="shared" si="10"/>
        <v>1.0020232196503118</v>
      </c>
      <c r="BQ76" s="3">
        <f t="shared" si="11"/>
        <v>0.99134874222593528</v>
      </c>
    </row>
    <row r="77" spans="1:69" hidden="1" x14ac:dyDescent="0.35">
      <c r="A77">
        <v>75</v>
      </c>
      <c r="B77">
        <v>4761</v>
      </c>
      <c r="D77">
        <v>24</v>
      </c>
      <c r="E77">
        <v>3</v>
      </c>
      <c r="G77">
        <v>16693.599999999999</v>
      </c>
      <c r="I77" t="s">
        <v>62</v>
      </c>
      <c r="L77" t="s">
        <v>183</v>
      </c>
      <c r="M77">
        <v>12</v>
      </c>
      <c r="N77">
        <v>40.200000000000003</v>
      </c>
      <c r="O77">
        <v>11.4</v>
      </c>
      <c r="P77" s="3">
        <f t="shared" si="6"/>
        <v>0.95000000000000007</v>
      </c>
      <c r="Q77">
        <v>32.4</v>
      </c>
      <c r="R77" s="3">
        <f t="shared" si="7"/>
        <v>0.80597014925373123</v>
      </c>
      <c r="S77">
        <v>290</v>
      </c>
      <c r="T77">
        <v>9.4559999999999995</v>
      </c>
      <c r="U77">
        <v>39.979999999999997</v>
      </c>
      <c r="V77">
        <v>8.9819999999999993</v>
      </c>
      <c r="W77" s="3">
        <f t="shared" si="8"/>
        <v>0.94987309644670048</v>
      </c>
      <c r="X77">
        <v>31.98</v>
      </c>
      <c r="Y77" s="3">
        <f t="shared" si="9"/>
        <v>0.79989994997498759</v>
      </c>
      <c r="Z77">
        <v>287.2</v>
      </c>
      <c r="AA77">
        <v>76</v>
      </c>
      <c r="AB77">
        <v>25</v>
      </c>
      <c r="AC77" t="s">
        <v>64</v>
      </c>
      <c r="AE77" t="s">
        <v>65</v>
      </c>
      <c r="AF77" t="s">
        <v>66</v>
      </c>
      <c r="AG77" t="s">
        <v>280</v>
      </c>
      <c r="AH77" s="1">
        <v>0.47667824074074072</v>
      </c>
      <c r="AI77" t="s">
        <v>68</v>
      </c>
      <c r="AJ77" t="s">
        <v>69</v>
      </c>
      <c r="AO77">
        <v>7.6</v>
      </c>
      <c r="AP77">
        <v>41.7</v>
      </c>
      <c r="AQ77">
        <v>6.4</v>
      </c>
      <c r="AR77">
        <v>1.9</v>
      </c>
      <c r="AS77">
        <v>37.700000000000003</v>
      </c>
      <c r="AT77">
        <v>38.4</v>
      </c>
      <c r="AY77">
        <v>2.36</v>
      </c>
      <c r="AZ77" s="2">
        <v>44199</v>
      </c>
      <c r="BB77" s="2">
        <v>44199</v>
      </c>
      <c r="BD77" t="s">
        <v>68</v>
      </c>
      <c r="BE77" t="s">
        <v>389</v>
      </c>
      <c r="BF77" t="s">
        <v>390</v>
      </c>
      <c r="BG77" t="s">
        <v>391</v>
      </c>
      <c r="BH77">
        <v>0</v>
      </c>
      <c r="BI77">
        <v>0</v>
      </c>
      <c r="BJ77">
        <v>1</v>
      </c>
      <c r="BK77" t="s">
        <v>392</v>
      </c>
      <c r="BL77">
        <v>8.8620000000000001</v>
      </c>
      <c r="BM77">
        <v>8.8620000000000001</v>
      </c>
      <c r="BN77" t="s">
        <v>280</v>
      </c>
      <c r="BO77" s="1">
        <v>0.47667824074074072</v>
      </c>
      <c r="BP77" s="3">
        <f t="shared" si="10"/>
        <v>0.99986641731231618</v>
      </c>
      <c r="BQ77" s="3">
        <f t="shared" si="11"/>
        <v>0.99246845645044768</v>
      </c>
    </row>
    <row r="78" spans="1:69" hidden="1" x14ac:dyDescent="0.35">
      <c r="A78">
        <v>76</v>
      </c>
      <c r="B78">
        <v>4763</v>
      </c>
      <c r="D78">
        <v>24</v>
      </c>
      <c r="E78">
        <v>3</v>
      </c>
      <c r="G78">
        <v>16693.599999999999</v>
      </c>
      <c r="I78" t="s">
        <v>62</v>
      </c>
      <c r="L78" t="s">
        <v>183</v>
      </c>
      <c r="M78">
        <v>12</v>
      </c>
      <c r="N78">
        <v>40.200000000000003</v>
      </c>
      <c r="O78">
        <v>11.4</v>
      </c>
      <c r="P78" s="3">
        <f t="shared" si="6"/>
        <v>0.95000000000000007</v>
      </c>
      <c r="Q78">
        <v>32.4</v>
      </c>
      <c r="R78" s="3">
        <f t="shared" si="7"/>
        <v>0.80597014925373123</v>
      </c>
      <c r="S78">
        <v>290</v>
      </c>
      <c r="T78">
        <v>9.4529999999999994</v>
      </c>
      <c r="U78">
        <v>40.03</v>
      </c>
      <c r="V78">
        <v>8.9890000000000008</v>
      </c>
      <c r="W78" s="3">
        <f t="shared" si="8"/>
        <v>0.95091505342219418</v>
      </c>
      <c r="X78">
        <v>32.03</v>
      </c>
      <c r="Y78" s="3">
        <f t="shared" si="9"/>
        <v>0.80014988758431183</v>
      </c>
      <c r="Z78">
        <v>287.89999999999998</v>
      </c>
      <c r="AA78">
        <v>76.099999999999994</v>
      </c>
      <c r="AB78">
        <v>25.2</v>
      </c>
      <c r="AC78" t="s">
        <v>64</v>
      </c>
      <c r="AE78" t="s">
        <v>65</v>
      </c>
      <c r="AF78" t="s">
        <v>66</v>
      </c>
      <c r="AG78" t="s">
        <v>280</v>
      </c>
      <c r="AH78" s="1">
        <v>0.48267361111111112</v>
      </c>
      <c r="AI78" t="s">
        <v>68</v>
      </c>
      <c r="AJ78" t="s">
        <v>69</v>
      </c>
      <c r="AO78">
        <v>7.6</v>
      </c>
      <c r="AP78">
        <v>41.7</v>
      </c>
      <c r="AQ78">
        <v>6.4</v>
      </c>
      <c r="AR78">
        <v>1.9</v>
      </c>
      <c r="AS78">
        <v>37.6</v>
      </c>
      <c r="AT78">
        <v>38.4</v>
      </c>
      <c r="AY78">
        <v>2.36</v>
      </c>
      <c r="AZ78" s="2">
        <v>44199</v>
      </c>
      <c r="BB78" s="2">
        <v>44199</v>
      </c>
      <c r="BD78" t="s">
        <v>68</v>
      </c>
      <c r="BE78" t="s">
        <v>393</v>
      </c>
      <c r="BF78" t="s">
        <v>394</v>
      </c>
      <c r="BG78" t="s">
        <v>395</v>
      </c>
      <c r="BH78">
        <v>0</v>
      </c>
      <c r="BI78">
        <v>0</v>
      </c>
      <c r="BJ78">
        <v>1</v>
      </c>
      <c r="BK78" t="s">
        <v>396</v>
      </c>
      <c r="BL78">
        <v>8.8620000000000001</v>
      </c>
      <c r="BM78">
        <v>8.8620000000000001</v>
      </c>
      <c r="BN78" t="s">
        <v>280</v>
      </c>
      <c r="BO78" s="1">
        <v>0.48267361111111112</v>
      </c>
      <c r="BP78" s="3">
        <f t="shared" si="10"/>
        <v>1.0009632141286253</v>
      </c>
      <c r="BQ78" s="3">
        <f t="shared" si="11"/>
        <v>0.99277856422497968</v>
      </c>
    </row>
    <row r="79" spans="1:69" hidden="1" x14ac:dyDescent="0.35">
      <c r="A79">
        <v>77</v>
      </c>
      <c r="B79">
        <v>10195</v>
      </c>
      <c r="D79">
        <v>24</v>
      </c>
      <c r="E79">
        <v>3</v>
      </c>
      <c r="G79">
        <v>16698.5</v>
      </c>
      <c r="I79" t="s">
        <v>62</v>
      </c>
      <c r="L79" t="s">
        <v>374</v>
      </c>
      <c r="M79">
        <v>12</v>
      </c>
      <c r="N79">
        <v>40.200000000000003</v>
      </c>
      <c r="O79">
        <v>11.4</v>
      </c>
      <c r="P79" s="3">
        <f t="shared" si="6"/>
        <v>0.95000000000000007</v>
      </c>
      <c r="Q79">
        <v>32.4</v>
      </c>
      <c r="R79" s="3">
        <f t="shared" si="7"/>
        <v>0.80597014925373123</v>
      </c>
      <c r="S79">
        <v>290</v>
      </c>
      <c r="T79">
        <v>9.4619999999999997</v>
      </c>
      <c r="U79">
        <v>39.85</v>
      </c>
      <c r="V79">
        <v>8.99</v>
      </c>
      <c r="W79" s="3">
        <f t="shared" si="8"/>
        <v>0.95011625449165082</v>
      </c>
      <c r="X79">
        <v>32.049999999999997</v>
      </c>
      <c r="Y79" s="3">
        <f t="shared" si="9"/>
        <v>0.80426599749058958</v>
      </c>
      <c r="Z79">
        <v>288.2</v>
      </c>
      <c r="AA79">
        <v>76.400000000000006</v>
      </c>
      <c r="AB79">
        <v>25.3</v>
      </c>
      <c r="AC79" t="s">
        <v>64</v>
      </c>
      <c r="AE79" t="s">
        <v>65</v>
      </c>
      <c r="AF79" t="s">
        <v>66</v>
      </c>
      <c r="AG79" s="2">
        <v>44532</v>
      </c>
      <c r="AH79" s="1">
        <v>0.59722222222222221</v>
      </c>
      <c r="AI79" t="s">
        <v>68</v>
      </c>
      <c r="AJ79" t="s">
        <v>69</v>
      </c>
      <c r="AO79">
        <v>7.6</v>
      </c>
      <c r="AP79">
        <v>41.7</v>
      </c>
      <c r="AQ79">
        <v>6.4</v>
      </c>
      <c r="AR79">
        <v>1.9</v>
      </c>
      <c r="AS79">
        <v>37.6</v>
      </c>
      <c r="AT79">
        <v>38.4</v>
      </c>
      <c r="AY79">
        <v>2.36</v>
      </c>
      <c r="AZ79" s="2">
        <v>44199</v>
      </c>
      <c r="BB79" s="2">
        <v>44199</v>
      </c>
      <c r="BD79" t="s">
        <v>68</v>
      </c>
      <c r="BE79" t="s">
        <v>397</v>
      </c>
      <c r="BF79" t="s">
        <v>398</v>
      </c>
      <c r="BG79" t="s">
        <v>399</v>
      </c>
      <c r="BH79">
        <v>0</v>
      </c>
      <c r="BI79">
        <v>0</v>
      </c>
      <c r="BJ79">
        <v>1</v>
      </c>
      <c r="BK79" t="s">
        <v>400</v>
      </c>
      <c r="BL79">
        <v>8.8620000000000001</v>
      </c>
      <c r="BN79" t="s">
        <v>379</v>
      </c>
      <c r="BO79" s="1">
        <v>0.66818287037037039</v>
      </c>
      <c r="BP79" s="3">
        <f t="shared" si="10"/>
        <v>1.000122373149106</v>
      </c>
      <c r="BQ79" s="3">
        <f t="shared" si="11"/>
        <v>0.99788558947906503</v>
      </c>
    </row>
    <row r="80" spans="1:69" hidden="1" x14ac:dyDescent="0.35">
      <c r="A80">
        <v>78</v>
      </c>
      <c r="B80">
        <v>3400</v>
      </c>
      <c r="D80">
        <v>24</v>
      </c>
      <c r="E80">
        <v>3</v>
      </c>
      <c r="G80">
        <v>16698.5</v>
      </c>
      <c r="I80" t="s">
        <v>62</v>
      </c>
      <c r="L80" t="s">
        <v>380</v>
      </c>
      <c r="M80">
        <v>12</v>
      </c>
      <c r="N80">
        <v>40.200000000000003</v>
      </c>
      <c r="O80">
        <v>11.4</v>
      </c>
      <c r="P80" s="3">
        <f t="shared" si="6"/>
        <v>0.95000000000000007</v>
      </c>
      <c r="Q80">
        <v>32.4</v>
      </c>
      <c r="R80" s="3">
        <f t="shared" si="7"/>
        <v>0.80597014925373123</v>
      </c>
      <c r="S80">
        <v>290</v>
      </c>
      <c r="T80">
        <v>9.4770000000000003</v>
      </c>
      <c r="U80">
        <v>40.159999999999997</v>
      </c>
      <c r="V80">
        <v>9.0079999999999991</v>
      </c>
      <c r="W80" s="3">
        <f t="shared" si="8"/>
        <v>0.95051176532657999</v>
      </c>
      <c r="X80">
        <v>32.229999999999997</v>
      </c>
      <c r="Y80" s="3">
        <f t="shared" si="9"/>
        <v>0.80253984063745021</v>
      </c>
      <c r="Z80">
        <v>290.3</v>
      </c>
      <c r="AA80">
        <v>76.3</v>
      </c>
      <c r="AB80">
        <v>24.7</v>
      </c>
      <c r="AC80" t="s">
        <v>64</v>
      </c>
      <c r="AE80" t="s">
        <v>65</v>
      </c>
      <c r="AF80" t="s">
        <v>66</v>
      </c>
      <c r="AG80" s="2">
        <v>44532</v>
      </c>
      <c r="AH80" s="1">
        <v>0.54791666666666672</v>
      </c>
      <c r="AI80" t="s">
        <v>68</v>
      </c>
      <c r="AJ80" t="s">
        <v>69</v>
      </c>
      <c r="AO80">
        <v>7.6</v>
      </c>
      <c r="AP80">
        <v>42</v>
      </c>
      <c r="AQ80">
        <v>6.4</v>
      </c>
      <c r="AR80">
        <v>1.9</v>
      </c>
      <c r="AS80">
        <v>37.799999999999997</v>
      </c>
      <c r="AT80">
        <v>38.4</v>
      </c>
      <c r="AY80">
        <v>2.36</v>
      </c>
      <c r="AZ80" s="2">
        <v>44199</v>
      </c>
      <c r="BB80" s="2">
        <v>44199</v>
      </c>
      <c r="BD80" t="s">
        <v>68</v>
      </c>
      <c r="BE80" t="s">
        <v>401</v>
      </c>
      <c r="BF80" t="s">
        <v>402</v>
      </c>
      <c r="BG80" t="s">
        <v>403</v>
      </c>
      <c r="BH80">
        <v>0</v>
      </c>
      <c r="BI80">
        <v>0</v>
      </c>
      <c r="BJ80">
        <v>1</v>
      </c>
      <c r="BK80" t="s">
        <v>404</v>
      </c>
      <c r="BL80">
        <v>8.8620000000000001</v>
      </c>
      <c r="BM80">
        <v>8.8620000000000001</v>
      </c>
      <c r="BN80" s="2">
        <v>43136</v>
      </c>
      <c r="BO80" s="1">
        <v>0.43658564814814815</v>
      </c>
      <c r="BP80" s="3">
        <f t="shared" si="10"/>
        <v>1.0005387003437682</v>
      </c>
      <c r="BQ80" s="3">
        <f t="shared" si="11"/>
        <v>0.99574387634646611</v>
      </c>
    </row>
    <row r="81" spans="1:69" hidden="1" x14ac:dyDescent="0.35">
      <c r="A81">
        <v>79</v>
      </c>
      <c r="B81">
        <v>10109</v>
      </c>
      <c r="D81">
        <v>24</v>
      </c>
      <c r="E81">
        <v>3</v>
      </c>
      <c r="G81">
        <v>16698.5</v>
      </c>
      <c r="I81" t="s">
        <v>62</v>
      </c>
      <c r="L81" t="s">
        <v>368</v>
      </c>
      <c r="M81">
        <v>12</v>
      </c>
      <c r="N81">
        <v>40.200000000000003</v>
      </c>
      <c r="O81">
        <v>11.4</v>
      </c>
      <c r="P81" s="3">
        <f t="shared" si="6"/>
        <v>0.95000000000000007</v>
      </c>
      <c r="Q81">
        <v>32.4</v>
      </c>
      <c r="R81" s="3">
        <f t="shared" si="7"/>
        <v>0.80597014925373123</v>
      </c>
      <c r="S81">
        <v>290</v>
      </c>
      <c r="T81">
        <v>9.4540000000000006</v>
      </c>
      <c r="U81">
        <v>39.97</v>
      </c>
      <c r="V81">
        <v>8.9879999999999995</v>
      </c>
      <c r="W81" s="3">
        <f t="shared" si="8"/>
        <v>0.95070869473238828</v>
      </c>
      <c r="X81">
        <v>32.14</v>
      </c>
      <c r="Y81" s="3">
        <f t="shared" si="9"/>
        <v>0.80410307730798103</v>
      </c>
      <c r="Z81">
        <v>288.89999999999998</v>
      </c>
      <c r="AA81">
        <v>76.5</v>
      </c>
      <c r="AB81">
        <v>25.2</v>
      </c>
      <c r="AC81" t="s">
        <v>64</v>
      </c>
      <c r="AE81" t="s">
        <v>65</v>
      </c>
      <c r="AF81" t="s">
        <v>66</v>
      </c>
      <c r="AG81" s="2">
        <v>44532</v>
      </c>
      <c r="AH81" s="1">
        <v>0.58526620370370375</v>
      </c>
      <c r="AI81" t="s">
        <v>68</v>
      </c>
      <c r="AJ81" t="s">
        <v>69</v>
      </c>
      <c r="AO81">
        <v>7.6</v>
      </c>
      <c r="AP81">
        <v>41.7</v>
      </c>
      <c r="AQ81">
        <v>6.4</v>
      </c>
      <c r="AR81">
        <v>1.9</v>
      </c>
      <c r="AS81">
        <v>37.6</v>
      </c>
      <c r="AT81">
        <v>38.4</v>
      </c>
      <c r="AY81">
        <v>2.36</v>
      </c>
      <c r="AZ81" s="2">
        <v>44199</v>
      </c>
      <c r="BB81" s="2">
        <v>44199</v>
      </c>
      <c r="BD81" t="s">
        <v>68</v>
      </c>
      <c r="BE81" t="s">
        <v>405</v>
      </c>
      <c r="BF81" t="s">
        <v>406</v>
      </c>
      <c r="BG81" t="s">
        <v>407</v>
      </c>
      <c r="BH81">
        <v>0</v>
      </c>
      <c r="BI81">
        <v>0</v>
      </c>
      <c r="BJ81">
        <v>1</v>
      </c>
      <c r="BK81" t="s">
        <v>408</v>
      </c>
      <c r="BL81">
        <v>8.8620000000000001</v>
      </c>
      <c r="BM81">
        <v>8.7140000000000004</v>
      </c>
      <c r="BN81" t="s">
        <v>373</v>
      </c>
      <c r="BO81" s="1">
        <v>0.56466435185185182</v>
      </c>
      <c r="BP81" s="3">
        <f t="shared" si="10"/>
        <v>1.0007459944551456</v>
      </c>
      <c r="BQ81" s="3">
        <f t="shared" si="11"/>
        <v>0.99768344777101359</v>
      </c>
    </row>
    <row r="82" spans="1:69" hidden="1" x14ac:dyDescent="0.35">
      <c r="A82">
        <v>80</v>
      </c>
      <c r="B82">
        <v>3404</v>
      </c>
      <c r="D82">
        <v>24</v>
      </c>
      <c r="E82">
        <v>3</v>
      </c>
      <c r="G82">
        <v>16698.5</v>
      </c>
      <c r="I82" t="s">
        <v>62</v>
      </c>
      <c r="L82" t="s">
        <v>380</v>
      </c>
      <c r="M82">
        <v>12</v>
      </c>
      <c r="N82">
        <v>40.200000000000003</v>
      </c>
      <c r="O82">
        <v>11.4</v>
      </c>
      <c r="P82" s="3">
        <f t="shared" si="6"/>
        <v>0.95000000000000007</v>
      </c>
      <c r="Q82">
        <v>32.4</v>
      </c>
      <c r="R82" s="3">
        <f t="shared" si="7"/>
        <v>0.80597014925373123</v>
      </c>
      <c r="S82">
        <v>290</v>
      </c>
      <c r="T82">
        <v>9.4949999999999992</v>
      </c>
      <c r="U82">
        <v>40.03</v>
      </c>
      <c r="V82">
        <v>9.01</v>
      </c>
      <c r="W82" s="3">
        <f t="shared" si="8"/>
        <v>0.94892048446550825</v>
      </c>
      <c r="X82">
        <v>32.159999999999997</v>
      </c>
      <c r="Y82" s="3">
        <f t="shared" si="9"/>
        <v>0.8033974519110666</v>
      </c>
      <c r="Z82">
        <v>289.7</v>
      </c>
      <c r="AA82">
        <v>76.2</v>
      </c>
      <c r="AB82">
        <v>24.7</v>
      </c>
      <c r="AC82" t="s">
        <v>64</v>
      </c>
      <c r="AE82" t="s">
        <v>65</v>
      </c>
      <c r="AF82" t="s">
        <v>66</v>
      </c>
      <c r="AG82" s="2">
        <v>44532</v>
      </c>
      <c r="AH82" s="1">
        <v>0.55129629629629628</v>
      </c>
      <c r="AI82" t="s">
        <v>68</v>
      </c>
      <c r="AJ82" t="s">
        <v>69</v>
      </c>
      <c r="AO82">
        <v>7.6</v>
      </c>
      <c r="AP82">
        <v>42</v>
      </c>
      <c r="AQ82">
        <v>6.4</v>
      </c>
      <c r="AR82">
        <v>1.9</v>
      </c>
      <c r="AS82">
        <v>42</v>
      </c>
      <c r="AT82">
        <v>38.4</v>
      </c>
      <c r="AY82">
        <v>2.36</v>
      </c>
      <c r="AZ82" s="2">
        <v>44199</v>
      </c>
      <c r="BB82" s="2">
        <v>44199</v>
      </c>
      <c r="BD82" t="s">
        <v>68</v>
      </c>
      <c r="BE82" t="s">
        <v>409</v>
      </c>
      <c r="BF82" t="s">
        <v>410</v>
      </c>
      <c r="BG82" t="s">
        <v>411</v>
      </c>
      <c r="BH82">
        <v>0</v>
      </c>
      <c r="BI82">
        <v>0</v>
      </c>
      <c r="BJ82">
        <v>1</v>
      </c>
      <c r="BK82" t="s">
        <v>412</v>
      </c>
      <c r="BL82">
        <v>8.8620000000000001</v>
      </c>
      <c r="BM82">
        <v>8.8620000000000001</v>
      </c>
      <c r="BN82" s="2">
        <v>43136</v>
      </c>
      <c r="BO82" s="1">
        <v>0.48842592592592593</v>
      </c>
      <c r="BP82" s="3">
        <f t="shared" si="10"/>
        <v>0.99886366785842962</v>
      </c>
      <c r="BQ82" s="3">
        <f t="shared" si="11"/>
        <v>0.9968079495933605</v>
      </c>
    </row>
    <row r="83" spans="1:69" hidden="1" x14ac:dyDescent="0.35">
      <c r="A83">
        <v>81</v>
      </c>
      <c r="B83">
        <v>3399</v>
      </c>
      <c r="D83">
        <v>24</v>
      </c>
      <c r="E83">
        <v>3</v>
      </c>
      <c r="G83">
        <v>16698.5</v>
      </c>
      <c r="I83" t="s">
        <v>62</v>
      </c>
      <c r="L83" t="s">
        <v>380</v>
      </c>
      <c r="M83">
        <v>12</v>
      </c>
      <c r="N83">
        <v>40.200000000000003</v>
      </c>
      <c r="O83">
        <v>11.4</v>
      </c>
      <c r="P83" s="3">
        <f t="shared" si="6"/>
        <v>0.95000000000000007</v>
      </c>
      <c r="Q83">
        <v>32.4</v>
      </c>
      <c r="R83" s="3">
        <f t="shared" si="7"/>
        <v>0.80597014925373123</v>
      </c>
      <c r="S83">
        <v>290</v>
      </c>
      <c r="T83">
        <v>9.5079999999999991</v>
      </c>
      <c r="U83">
        <v>40.130000000000003</v>
      </c>
      <c r="V83">
        <v>9.0310000000000006</v>
      </c>
      <c r="W83" s="3">
        <f t="shared" si="8"/>
        <v>0.94983172065628962</v>
      </c>
      <c r="X83">
        <v>32.15</v>
      </c>
      <c r="Y83" s="3">
        <f t="shared" si="9"/>
        <v>0.80114627460752541</v>
      </c>
      <c r="Z83">
        <v>290.39999999999998</v>
      </c>
      <c r="AA83">
        <v>76.099999999999994</v>
      </c>
      <c r="AB83">
        <v>25.1</v>
      </c>
      <c r="AC83" t="s">
        <v>64</v>
      </c>
      <c r="AE83" t="s">
        <v>65</v>
      </c>
      <c r="AF83" t="s">
        <v>66</v>
      </c>
      <c r="AG83" s="2">
        <v>44532</v>
      </c>
      <c r="AH83" s="1">
        <v>0.54364583333333338</v>
      </c>
      <c r="AI83" t="s">
        <v>68</v>
      </c>
      <c r="AJ83" t="s">
        <v>69</v>
      </c>
      <c r="AO83">
        <v>7.6230000000000002</v>
      </c>
      <c r="AP83">
        <v>41.917000000000002</v>
      </c>
      <c r="AQ83">
        <v>6.4</v>
      </c>
      <c r="AR83">
        <v>1.905</v>
      </c>
      <c r="AS83">
        <v>37.600999999999999</v>
      </c>
      <c r="AT83">
        <v>38.4</v>
      </c>
      <c r="AY83">
        <v>2.36</v>
      </c>
      <c r="AZ83" s="2">
        <v>44199</v>
      </c>
      <c r="BB83" s="2">
        <v>44199</v>
      </c>
      <c r="BD83" t="s">
        <v>68</v>
      </c>
      <c r="BE83" t="s">
        <v>413</v>
      </c>
      <c r="BF83" t="s">
        <v>414</v>
      </c>
      <c r="BG83" t="s">
        <v>415</v>
      </c>
      <c r="BH83">
        <v>0</v>
      </c>
      <c r="BI83">
        <v>0</v>
      </c>
      <c r="BJ83">
        <v>1</v>
      </c>
      <c r="BK83" t="s">
        <v>416</v>
      </c>
      <c r="BL83">
        <v>8.8620000000000001</v>
      </c>
      <c r="BM83">
        <v>8.8620000000000001</v>
      </c>
      <c r="BN83" s="2">
        <v>43136</v>
      </c>
      <c r="BO83" s="1">
        <v>0.4220949074074074</v>
      </c>
      <c r="BP83" s="3">
        <f t="shared" si="10"/>
        <v>0.99982286384872587</v>
      </c>
      <c r="BQ83" s="3">
        <f t="shared" si="11"/>
        <v>0.99401482219822612</v>
      </c>
    </row>
    <row r="84" spans="1:69" hidden="1" x14ac:dyDescent="0.35">
      <c r="A84">
        <v>82</v>
      </c>
      <c r="B84">
        <v>3402</v>
      </c>
      <c r="D84">
        <v>24</v>
      </c>
      <c r="E84">
        <v>3</v>
      </c>
      <c r="G84">
        <v>16698.5</v>
      </c>
      <c r="I84" t="s">
        <v>62</v>
      </c>
      <c r="L84" t="s">
        <v>380</v>
      </c>
      <c r="M84">
        <v>12</v>
      </c>
      <c r="N84">
        <v>40.200000000000003</v>
      </c>
      <c r="O84">
        <v>11.4</v>
      </c>
      <c r="P84" s="3">
        <f t="shared" si="6"/>
        <v>0.95000000000000007</v>
      </c>
      <c r="Q84">
        <v>32.4</v>
      </c>
      <c r="R84" s="3">
        <f t="shared" si="7"/>
        <v>0.80597014925373123</v>
      </c>
      <c r="S84">
        <v>290</v>
      </c>
      <c r="T84">
        <v>9.4420000000000002</v>
      </c>
      <c r="U84">
        <v>39.94</v>
      </c>
      <c r="V84">
        <v>9.0050000000000008</v>
      </c>
      <c r="W84" s="3">
        <f t="shared" si="8"/>
        <v>0.95371743274729937</v>
      </c>
      <c r="X84">
        <v>32.090000000000003</v>
      </c>
      <c r="Y84" s="3">
        <f t="shared" si="9"/>
        <v>0.80345518277416139</v>
      </c>
      <c r="Z84">
        <v>289</v>
      </c>
      <c r="AA84">
        <v>76.599999999999994</v>
      </c>
      <c r="AB84">
        <v>25</v>
      </c>
      <c r="AC84" t="s">
        <v>64</v>
      </c>
      <c r="AE84" t="s">
        <v>65</v>
      </c>
      <c r="AF84" t="s">
        <v>66</v>
      </c>
      <c r="AG84" s="2">
        <v>44532</v>
      </c>
      <c r="AH84" s="1">
        <v>0.58035879629629628</v>
      </c>
      <c r="AI84" t="s">
        <v>68</v>
      </c>
      <c r="AJ84" t="s">
        <v>69</v>
      </c>
      <c r="AO84">
        <v>7.6</v>
      </c>
      <c r="AP84">
        <v>41.7</v>
      </c>
      <c r="AQ84">
        <v>6.4</v>
      </c>
      <c r="AR84">
        <v>1.9</v>
      </c>
      <c r="AS84">
        <v>37.6</v>
      </c>
      <c r="AT84">
        <v>38.4</v>
      </c>
      <c r="AY84">
        <v>2.36</v>
      </c>
      <c r="AZ84" s="2">
        <v>44199</v>
      </c>
      <c r="BB84" s="2">
        <v>44199</v>
      </c>
      <c r="BD84" t="s">
        <v>68</v>
      </c>
      <c r="BE84" t="s">
        <v>417</v>
      </c>
      <c r="BF84" t="s">
        <v>418</v>
      </c>
      <c r="BG84" t="s">
        <v>419</v>
      </c>
      <c r="BH84">
        <v>0</v>
      </c>
      <c r="BI84">
        <v>0</v>
      </c>
      <c r="BJ84">
        <v>1</v>
      </c>
      <c r="BK84" t="s">
        <v>420</v>
      </c>
      <c r="BL84">
        <v>8.8620000000000001</v>
      </c>
      <c r="BM84">
        <v>8.8620000000000001</v>
      </c>
      <c r="BN84" s="2">
        <v>43136</v>
      </c>
      <c r="BO84" s="1">
        <v>0.4548726851851852</v>
      </c>
      <c r="BP84" s="3">
        <f t="shared" si="10"/>
        <v>1.0039130871024202</v>
      </c>
      <c r="BQ84" s="3">
        <f t="shared" si="11"/>
        <v>0.99687957862720034</v>
      </c>
    </row>
    <row r="85" spans="1:69" hidden="1" x14ac:dyDescent="0.35">
      <c r="A85">
        <v>83</v>
      </c>
      <c r="B85">
        <v>4173</v>
      </c>
      <c r="D85">
        <v>15</v>
      </c>
      <c r="E85">
        <v>3</v>
      </c>
      <c r="G85">
        <v>16335</v>
      </c>
      <c r="I85" t="s">
        <v>182</v>
      </c>
      <c r="L85" t="s">
        <v>421</v>
      </c>
      <c r="M85">
        <v>9.09</v>
      </c>
      <c r="N85">
        <v>38.799999999999997</v>
      </c>
      <c r="O85">
        <v>8.52</v>
      </c>
      <c r="P85" s="3">
        <f t="shared" si="6"/>
        <v>0.93729372937293731</v>
      </c>
      <c r="Q85">
        <v>31.7</v>
      </c>
      <c r="R85" s="3">
        <f t="shared" si="7"/>
        <v>0.81701030927835061</v>
      </c>
      <c r="S85">
        <v>270</v>
      </c>
      <c r="T85">
        <v>9.1</v>
      </c>
      <c r="U85">
        <v>37.630000000000003</v>
      </c>
      <c r="V85">
        <v>8.64</v>
      </c>
      <c r="W85" s="3">
        <f t="shared" si="8"/>
        <v>0.94945054945054952</v>
      </c>
      <c r="X85">
        <v>30.43</v>
      </c>
      <c r="Y85" s="3">
        <f t="shared" si="9"/>
        <v>0.80866330055806535</v>
      </c>
      <c r="Z85">
        <v>262.89999999999998</v>
      </c>
      <c r="AA85">
        <v>76.8</v>
      </c>
      <c r="AB85">
        <v>25.1</v>
      </c>
      <c r="AC85" t="s">
        <v>64</v>
      </c>
      <c r="AE85" t="s">
        <v>65</v>
      </c>
      <c r="AF85" t="s">
        <v>66</v>
      </c>
      <c r="AG85" s="2">
        <v>44198</v>
      </c>
      <c r="AH85" s="1">
        <v>0.6620949074074074</v>
      </c>
      <c r="AI85" t="s">
        <v>68</v>
      </c>
      <c r="AJ85" t="s">
        <v>69</v>
      </c>
      <c r="AR85">
        <v>1.83</v>
      </c>
      <c r="AS85">
        <v>34.636000000000003</v>
      </c>
      <c r="AT85">
        <v>153.6</v>
      </c>
      <c r="AY85">
        <v>2.36</v>
      </c>
      <c r="AZ85" s="2">
        <v>44257</v>
      </c>
      <c r="BB85" s="2">
        <v>44257</v>
      </c>
      <c r="BD85" t="s">
        <v>68</v>
      </c>
      <c r="BF85" t="s">
        <v>422</v>
      </c>
      <c r="BG85" t="s">
        <v>423</v>
      </c>
      <c r="BH85">
        <v>0</v>
      </c>
      <c r="BI85">
        <v>1</v>
      </c>
      <c r="BJ85">
        <v>2</v>
      </c>
      <c r="BK85" t="s">
        <v>424</v>
      </c>
      <c r="BL85">
        <v>8.8620000000000001</v>
      </c>
      <c r="BM85">
        <v>8.8620000000000001</v>
      </c>
      <c r="BN85" t="s">
        <v>425</v>
      </c>
      <c r="BO85" s="1">
        <v>0.65896990740740746</v>
      </c>
      <c r="BP85" s="3">
        <f t="shared" si="10"/>
        <v>1.0129701284630863</v>
      </c>
      <c r="BQ85" s="3">
        <f t="shared" si="11"/>
        <v>0.98978347197643313</v>
      </c>
    </row>
    <row r="86" spans="1:69" hidden="1" x14ac:dyDescent="0.35">
      <c r="A86">
        <v>84</v>
      </c>
      <c r="B86">
        <v>4173</v>
      </c>
      <c r="D86">
        <v>15</v>
      </c>
      <c r="E86">
        <v>3</v>
      </c>
      <c r="G86">
        <v>16335</v>
      </c>
      <c r="I86" t="s">
        <v>182</v>
      </c>
      <c r="L86" t="s">
        <v>426</v>
      </c>
      <c r="M86">
        <v>9.09</v>
      </c>
      <c r="N86">
        <v>38.799999999999997</v>
      </c>
      <c r="O86">
        <v>8.52</v>
      </c>
      <c r="P86" s="3">
        <f t="shared" si="6"/>
        <v>0.93729372937293731</v>
      </c>
      <c r="Q86">
        <v>31.7</v>
      </c>
      <c r="R86" s="3">
        <f t="shared" si="7"/>
        <v>0.81701030927835061</v>
      </c>
      <c r="S86">
        <v>270</v>
      </c>
      <c r="T86">
        <v>9.1739999999999995</v>
      </c>
      <c r="U86">
        <v>37.82</v>
      </c>
      <c r="V86">
        <v>8.7189999999999994</v>
      </c>
      <c r="W86" s="3">
        <f t="shared" si="8"/>
        <v>0.95040331371266618</v>
      </c>
      <c r="X86">
        <v>30.7</v>
      </c>
      <c r="Y86" s="3">
        <f t="shared" si="9"/>
        <v>0.81173982020095181</v>
      </c>
      <c r="Z86">
        <v>267.7</v>
      </c>
      <c r="AA86">
        <v>77.099999999999994</v>
      </c>
      <c r="AB86">
        <v>25.3</v>
      </c>
      <c r="AC86" t="s">
        <v>64</v>
      </c>
      <c r="AE86" t="s">
        <v>65</v>
      </c>
      <c r="AF86" t="s">
        <v>66</v>
      </c>
      <c r="AG86" t="s">
        <v>427</v>
      </c>
      <c r="AH86" s="1">
        <v>0.38474537037037038</v>
      </c>
      <c r="AI86" t="s">
        <v>68</v>
      </c>
      <c r="AJ86" t="s">
        <v>69</v>
      </c>
      <c r="AO86">
        <v>7.3630000000000004</v>
      </c>
      <c r="AP86">
        <v>39.365000000000002</v>
      </c>
      <c r="AQ86">
        <v>38.4</v>
      </c>
      <c r="AR86">
        <v>1.845</v>
      </c>
      <c r="AS86">
        <v>35.274000000000001</v>
      </c>
      <c r="AT86">
        <v>204.6</v>
      </c>
      <c r="AY86">
        <v>2.36</v>
      </c>
      <c r="AZ86" t="s">
        <v>428</v>
      </c>
      <c r="BB86" t="s">
        <v>428</v>
      </c>
      <c r="BD86" t="s">
        <v>68</v>
      </c>
      <c r="BE86" t="s">
        <v>429</v>
      </c>
      <c r="BF86" t="s">
        <v>430</v>
      </c>
      <c r="BG86" t="s">
        <v>431</v>
      </c>
      <c r="BH86">
        <v>0</v>
      </c>
      <c r="BI86">
        <v>0</v>
      </c>
      <c r="BJ86">
        <v>2</v>
      </c>
      <c r="BK86" t="s">
        <v>432</v>
      </c>
      <c r="BL86">
        <v>8.8620000000000001</v>
      </c>
      <c r="BM86">
        <v>8.8620000000000001</v>
      </c>
      <c r="BN86" t="s">
        <v>425</v>
      </c>
      <c r="BO86" s="1">
        <v>0.65896990740740746</v>
      </c>
      <c r="BP86" s="3">
        <f t="shared" si="10"/>
        <v>1.01398663399626</v>
      </c>
      <c r="BQ86" s="3">
        <f t="shared" si="11"/>
        <v>0.99354905437845198</v>
      </c>
    </row>
    <row r="87" spans="1:69" hidden="1" x14ac:dyDescent="0.35">
      <c r="A87">
        <v>85</v>
      </c>
      <c r="B87">
        <v>4175</v>
      </c>
      <c r="D87">
        <v>15</v>
      </c>
      <c r="E87">
        <v>3</v>
      </c>
      <c r="G87">
        <v>16335</v>
      </c>
      <c r="I87" t="s">
        <v>182</v>
      </c>
      <c r="L87" t="s">
        <v>421</v>
      </c>
      <c r="M87">
        <v>9.09</v>
      </c>
      <c r="N87">
        <v>38.799999999999997</v>
      </c>
      <c r="O87">
        <v>8.52</v>
      </c>
      <c r="P87" s="3">
        <f t="shared" si="6"/>
        <v>0.93729372937293731</v>
      </c>
      <c r="Q87">
        <v>31.7</v>
      </c>
      <c r="R87" s="3">
        <f t="shared" si="7"/>
        <v>0.81701030927835061</v>
      </c>
      <c r="S87">
        <v>270</v>
      </c>
      <c r="T87">
        <v>9.0939999999999994</v>
      </c>
      <c r="U87">
        <v>37.630000000000003</v>
      </c>
      <c r="V87">
        <v>8.6370000000000005</v>
      </c>
      <c r="W87" s="3">
        <f t="shared" si="8"/>
        <v>0.9497470859907633</v>
      </c>
      <c r="X87">
        <v>30.43</v>
      </c>
      <c r="Y87" s="3">
        <f t="shared" si="9"/>
        <v>0.80866330055806535</v>
      </c>
      <c r="Z87">
        <v>262.8</v>
      </c>
      <c r="AA87">
        <v>76.8</v>
      </c>
      <c r="AB87">
        <v>25.2</v>
      </c>
      <c r="AC87" t="s">
        <v>64</v>
      </c>
      <c r="AE87" t="s">
        <v>65</v>
      </c>
      <c r="AF87" t="s">
        <v>66</v>
      </c>
      <c r="AG87" s="2">
        <v>44198</v>
      </c>
      <c r="AH87" s="1">
        <v>0.66151620370370368</v>
      </c>
      <c r="AI87" t="s">
        <v>68</v>
      </c>
      <c r="AJ87" t="s">
        <v>69</v>
      </c>
      <c r="AO87">
        <v>7.3230000000000004</v>
      </c>
      <c r="AP87">
        <v>38.838999999999999</v>
      </c>
      <c r="AQ87">
        <v>38.4</v>
      </c>
      <c r="AR87">
        <v>1.83</v>
      </c>
      <c r="AS87">
        <v>34.636000000000003</v>
      </c>
      <c r="AT87">
        <v>153.6</v>
      </c>
      <c r="AY87">
        <v>2.36</v>
      </c>
      <c r="AZ87" s="2">
        <v>44257</v>
      </c>
      <c r="BB87" s="2">
        <v>44257</v>
      </c>
      <c r="BD87" t="s">
        <v>68</v>
      </c>
      <c r="BE87" t="s">
        <v>433</v>
      </c>
      <c r="BF87" t="s">
        <v>434</v>
      </c>
      <c r="BG87" t="s">
        <v>435</v>
      </c>
      <c r="BH87">
        <v>0</v>
      </c>
      <c r="BI87">
        <v>1</v>
      </c>
      <c r="BJ87">
        <v>2</v>
      </c>
      <c r="BK87" t="s">
        <v>436</v>
      </c>
      <c r="BL87">
        <v>8.8620000000000001</v>
      </c>
      <c r="BM87">
        <v>8.8620000000000001</v>
      </c>
      <c r="BN87" t="s">
        <v>425</v>
      </c>
      <c r="BO87" s="1">
        <v>0.66674768518518523</v>
      </c>
      <c r="BP87" s="3">
        <f t="shared" si="10"/>
        <v>1.0132865037154974</v>
      </c>
      <c r="BQ87" s="3">
        <f t="shared" si="11"/>
        <v>0.98978347197643313</v>
      </c>
    </row>
    <row r="88" spans="1:69" hidden="1" x14ac:dyDescent="0.35">
      <c r="A88">
        <v>86</v>
      </c>
      <c r="B88">
        <v>4175</v>
      </c>
      <c r="D88">
        <v>15</v>
      </c>
      <c r="E88">
        <v>3</v>
      </c>
      <c r="G88">
        <v>16335</v>
      </c>
      <c r="I88" t="s">
        <v>182</v>
      </c>
      <c r="L88" t="s">
        <v>426</v>
      </c>
      <c r="M88">
        <v>9.09</v>
      </c>
      <c r="N88">
        <v>38.799999999999997</v>
      </c>
      <c r="O88">
        <v>8.52</v>
      </c>
      <c r="P88" s="3">
        <f t="shared" si="6"/>
        <v>0.93729372937293731</v>
      </c>
      <c r="Q88">
        <v>31.7</v>
      </c>
      <c r="R88" s="3">
        <f t="shared" si="7"/>
        <v>0.81701030927835061</v>
      </c>
      <c r="S88">
        <v>270</v>
      </c>
      <c r="T88">
        <v>9.173</v>
      </c>
      <c r="U88">
        <v>37.85</v>
      </c>
      <c r="V88">
        <v>8.7189999999999994</v>
      </c>
      <c r="W88" s="3">
        <f t="shared" si="8"/>
        <v>0.95050692248991597</v>
      </c>
      <c r="X88">
        <v>30.64</v>
      </c>
      <c r="Y88" s="3">
        <f t="shared" si="9"/>
        <v>0.80951122853368562</v>
      </c>
      <c r="Z88">
        <v>267.2</v>
      </c>
      <c r="AA88">
        <v>76.900000000000006</v>
      </c>
      <c r="AB88">
        <v>24.9</v>
      </c>
      <c r="AC88" t="s">
        <v>64</v>
      </c>
      <c r="AE88" t="s">
        <v>65</v>
      </c>
      <c r="AF88" t="s">
        <v>66</v>
      </c>
      <c r="AG88" t="s">
        <v>427</v>
      </c>
      <c r="AH88" s="1">
        <v>0.38953703703703701</v>
      </c>
      <c r="AI88" t="s">
        <v>68</v>
      </c>
      <c r="AJ88" t="s">
        <v>69</v>
      </c>
      <c r="AO88">
        <v>7.3680000000000003</v>
      </c>
      <c r="AP88">
        <v>39.472999999999999</v>
      </c>
      <c r="AQ88">
        <v>38.4</v>
      </c>
      <c r="AR88">
        <v>1.845</v>
      </c>
      <c r="AS88">
        <v>35.387</v>
      </c>
      <c r="AT88">
        <v>204.6</v>
      </c>
      <c r="AY88">
        <v>2.36</v>
      </c>
      <c r="AZ88" t="s">
        <v>428</v>
      </c>
      <c r="BB88" t="s">
        <v>428</v>
      </c>
      <c r="BD88" t="s">
        <v>68</v>
      </c>
      <c r="BE88" t="s">
        <v>437</v>
      </c>
      <c r="BF88" t="s">
        <v>438</v>
      </c>
      <c r="BG88" t="s">
        <v>439</v>
      </c>
      <c r="BH88">
        <v>0</v>
      </c>
      <c r="BI88">
        <v>0</v>
      </c>
      <c r="BJ88">
        <v>2</v>
      </c>
      <c r="BK88" t="s">
        <v>440</v>
      </c>
      <c r="BL88">
        <v>8.8620000000000001</v>
      </c>
      <c r="BM88">
        <v>8.8620000000000001</v>
      </c>
      <c r="BN88" t="s">
        <v>425</v>
      </c>
      <c r="BO88" s="1">
        <v>0.66674768518518523</v>
      </c>
      <c r="BP88" s="3">
        <f t="shared" si="10"/>
        <v>1.0140971743466356</v>
      </c>
      <c r="BQ88" s="3">
        <f t="shared" si="11"/>
        <v>0.99082131441977916</v>
      </c>
    </row>
    <row r="89" spans="1:69" hidden="1" x14ac:dyDescent="0.35">
      <c r="A89">
        <v>87</v>
      </c>
      <c r="B89">
        <v>4178</v>
      </c>
      <c r="D89">
        <v>15</v>
      </c>
      <c r="E89">
        <v>3</v>
      </c>
      <c r="G89">
        <v>16335</v>
      </c>
      <c r="I89" t="s">
        <v>182</v>
      </c>
      <c r="L89" t="s">
        <v>421</v>
      </c>
      <c r="M89">
        <v>9.09</v>
      </c>
      <c r="N89">
        <v>38.799999999999997</v>
      </c>
      <c r="O89">
        <v>8.52</v>
      </c>
      <c r="P89" s="3">
        <f t="shared" si="6"/>
        <v>0.93729372937293731</v>
      </c>
      <c r="Q89">
        <v>31.7</v>
      </c>
      <c r="R89" s="3">
        <f t="shared" si="7"/>
        <v>0.81701030927835061</v>
      </c>
      <c r="S89">
        <v>270</v>
      </c>
      <c r="T89">
        <v>9.0920000000000005</v>
      </c>
      <c r="U89">
        <v>37.64</v>
      </c>
      <c r="V89">
        <v>8.6530000000000005</v>
      </c>
      <c r="W89" s="3">
        <f t="shared" si="8"/>
        <v>0.95171579410470741</v>
      </c>
      <c r="X89">
        <v>30.41</v>
      </c>
      <c r="Y89" s="3">
        <f t="shared" si="9"/>
        <v>0.80791710945802342</v>
      </c>
      <c r="Z89">
        <v>263.10000000000002</v>
      </c>
      <c r="AA89">
        <v>76.900000000000006</v>
      </c>
      <c r="AB89">
        <v>25.1</v>
      </c>
      <c r="AC89" t="s">
        <v>64</v>
      </c>
      <c r="AE89" t="s">
        <v>65</v>
      </c>
      <c r="AF89" t="s">
        <v>66</v>
      </c>
      <c r="AG89" s="2">
        <v>44198</v>
      </c>
      <c r="AH89" s="1">
        <v>0.66092592592592592</v>
      </c>
      <c r="AI89" t="s">
        <v>68</v>
      </c>
      <c r="AJ89" t="s">
        <v>69</v>
      </c>
      <c r="AO89">
        <v>7.3280000000000003</v>
      </c>
      <c r="AP89">
        <v>38.914000000000001</v>
      </c>
      <c r="AQ89">
        <v>38.4</v>
      </c>
      <c r="AR89">
        <v>1.83</v>
      </c>
      <c r="AS89">
        <v>34.588999999999999</v>
      </c>
      <c r="AT89">
        <v>153.6</v>
      </c>
      <c r="AY89">
        <v>2.36</v>
      </c>
      <c r="AZ89" s="2">
        <v>44257</v>
      </c>
      <c r="BB89" s="2">
        <v>44257</v>
      </c>
      <c r="BD89" t="s">
        <v>68</v>
      </c>
      <c r="BE89" t="s">
        <v>441</v>
      </c>
      <c r="BF89" t="s">
        <v>442</v>
      </c>
      <c r="BG89" t="s">
        <v>443</v>
      </c>
      <c r="BH89">
        <v>0</v>
      </c>
      <c r="BI89">
        <v>1</v>
      </c>
      <c r="BJ89">
        <v>2</v>
      </c>
      <c r="BK89" t="s">
        <v>444</v>
      </c>
      <c r="BL89">
        <v>8.8620000000000001</v>
      </c>
      <c r="BM89">
        <v>8.8620000000000001</v>
      </c>
      <c r="BN89" t="s">
        <v>425</v>
      </c>
      <c r="BO89" s="1">
        <v>0.67377314814814815</v>
      </c>
      <c r="BP89" s="3">
        <f t="shared" si="10"/>
        <v>1.0153869211750928</v>
      </c>
      <c r="BQ89" s="3">
        <f t="shared" si="11"/>
        <v>0.98887015290130298</v>
      </c>
    </row>
    <row r="90" spans="1:69" hidden="1" x14ac:dyDescent="0.35">
      <c r="A90">
        <v>88</v>
      </c>
      <c r="B90">
        <v>4178</v>
      </c>
      <c r="D90">
        <v>15</v>
      </c>
      <c r="E90">
        <v>3</v>
      </c>
      <c r="G90">
        <v>16335</v>
      </c>
      <c r="I90" t="s">
        <v>182</v>
      </c>
      <c r="L90" t="s">
        <v>426</v>
      </c>
      <c r="M90">
        <v>9.09</v>
      </c>
      <c r="N90">
        <v>38.799999999999997</v>
      </c>
      <c r="O90">
        <v>8.52</v>
      </c>
      <c r="P90" s="3">
        <f t="shared" si="6"/>
        <v>0.93729372937293731</v>
      </c>
      <c r="Q90">
        <v>31.7</v>
      </c>
      <c r="R90" s="3">
        <f t="shared" si="7"/>
        <v>0.81701030927835061</v>
      </c>
      <c r="S90">
        <v>270</v>
      </c>
      <c r="T90">
        <v>9.1750000000000007</v>
      </c>
      <c r="U90">
        <v>37.83</v>
      </c>
      <c r="V90">
        <v>8.7219999999999995</v>
      </c>
      <c r="W90" s="3">
        <f t="shared" si="8"/>
        <v>0.95062670299727503</v>
      </c>
      <c r="X90">
        <v>30.69</v>
      </c>
      <c r="Y90" s="3">
        <f t="shared" si="9"/>
        <v>0.81126090404440931</v>
      </c>
      <c r="Z90">
        <v>267.60000000000002</v>
      </c>
      <c r="AA90">
        <v>77.099999999999994</v>
      </c>
      <c r="AB90">
        <v>24.9</v>
      </c>
      <c r="AC90" t="s">
        <v>64</v>
      </c>
      <c r="AE90" t="s">
        <v>65</v>
      </c>
      <c r="AF90" t="s">
        <v>66</v>
      </c>
      <c r="AG90" t="s">
        <v>427</v>
      </c>
      <c r="AH90" s="1">
        <v>0.40567129629629628</v>
      </c>
      <c r="AI90" t="s">
        <v>68</v>
      </c>
      <c r="AJ90" t="s">
        <v>69</v>
      </c>
      <c r="AO90">
        <v>7.3630000000000004</v>
      </c>
      <c r="AP90">
        <v>39.365000000000002</v>
      </c>
      <c r="AQ90">
        <v>38.4</v>
      </c>
      <c r="AR90">
        <v>1.845</v>
      </c>
      <c r="AS90">
        <v>35.274000000000001</v>
      </c>
      <c r="AT90">
        <v>204.6</v>
      </c>
      <c r="AY90">
        <v>2.36</v>
      </c>
      <c r="AZ90" t="s">
        <v>428</v>
      </c>
      <c r="BB90" t="s">
        <v>428</v>
      </c>
      <c r="BD90" t="s">
        <v>68</v>
      </c>
      <c r="BE90" t="s">
        <v>445</v>
      </c>
      <c r="BF90" t="s">
        <v>446</v>
      </c>
      <c r="BG90" t="s">
        <v>447</v>
      </c>
      <c r="BH90">
        <v>0</v>
      </c>
      <c r="BI90">
        <v>0</v>
      </c>
      <c r="BJ90">
        <v>2</v>
      </c>
      <c r="BK90" t="s">
        <v>448</v>
      </c>
      <c r="BL90">
        <v>8.8620000000000001</v>
      </c>
      <c r="BM90">
        <v>8.8620000000000001</v>
      </c>
      <c r="BN90" t="s">
        <v>425</v>
      </c>
      <c r="BO90" s="1">
        <v>0.67377314814814815</v>
      </c>
      <c r="BP90" s="3">
        <f t="shared" si="10"/>
        <v>1.014224968338642</v>
      </c>
      <c r="BQ90" s="3">
        <f t="shared" si="11"/>
        <v>0.99296287308905606</v>
      </c>
    </row>
    <row r="91" spans="1:69" hidden="1" x14ac:dyDescent="0.35">
      <c r="A91">
        <v>89</v>
      </c>
      <c r="B91">
        <v>4174</v>
      </c>
      <c r="D91">
        <v>15</v>
      </c>
      <c r="E91">
        <v>3</v>
      </c>
      <c r="G91">
        <v>16335</v>
      </c>
      <c r="I91" t="s">
        <v>182</v>
      </c>
      <c r="L91" t="s">
        <v>421</v>
      </c>
      <c r="M91">
        <v>9.09</v>
      </c>
      <c r="N91">
        <v>38.799999999999997</v>
      </c>
      <c r="O91">
        <v>8.52</v>
      </c>
      <c r="P91" s="3">
        <f t="shared" si="6"/>
        <v>0.93729372937293731</v>
      </c>
      <c r="Q91">
        <v>31.7</v>
      </c>
      <c r="R91" s="3">
        <f t="shared" si="7"/>
        <v>0.81701030927835061</v>
      </c>
      <c r="S91">
        <v>270</v>
      </c>
      <c r="T91">
        <v>9.1989999999999998</v>
      </c>
      <c r="U91">
        <v>37.75</v>
      </c>
      <c r="V91">
        <v>8.7129999999999992</v>
      </c>
      <c r="W91" s="3">
        <f t="shared" si="8"/>
        <v>0.94716817045331003</v>
      </c>
      <c r="X91">
        <v>30.48</v>
      </c>
      <c r="Y91" s="3">
        <f t="shared" si="9"/>
        <v>0.80741721854304638</v>
      </c>
      <c r="Z91">
        <v>265.60000000000002</v>
      </c>
      <c r="AA91">
        <v>76.5</v>
      </c>
      <c r="AB91">
        <v>25</v>
      </c>
      <c r="AC91" t="s">
        <v>64</v>
      </c>
      <c r="AE91" t="s">
        <v>65</v>
      </c>
      <c r="AF91" t="s">
        <v>66</v>
      </c>
      <c r="AG91" s="2">
        <v>44198</v>
      </c>
      <c r="AH91" s="1">
        <v>0.65694444444444444</v>
      </c>
      <c r="AI91" t="s">
        <v>68</v>
      </c>
      <c r="AJ91" t="s">
        <v>69</v>
      </c>
      <c r="AO91">
        <v>7.3230000000000004</v>
      </c>
      <c r="AP91">
        <v>39.027000000000001</v>
      </c>
      <c r="AQ91">
        <v>38.4</v>
      </c>
      <c r="AR91">
        <v>1.83</v>
      </c>
      <c r="AS91">
        <v>34.899000000000001</v>
      </c>
      <c r="AT91">
        <v>204.6</v>
      </c>
      <c r="AY91">
        <v>2.36</v>
      </c>
      <c r="AZ91" s="2">
        <v>44257</v>
      </c>
      <c r="BB91" s="2">
        <v>44257</v>
      </c>
      <c r="BD91" t="s">
        <v>68</v>
      </c>
      <c r="BE91" t="s">
        <v>449</v>
      </c>
      <c r="BF91" t="s">
        <v>450</v>
      </c>
      <c r="BG91" t="s">
        <v>451</v>
      </c>
      <c r="BH91">
        <v>0</v>
      </c>
      <c r="BI91">
        <v>1</v>
      </c>
      <c r="BJ91">
        <v>2</v>
      </c>
      <c r="BK91" t="s">
        <v>452</v>
      </c>
      <c r="BL91">
        <v>8.8620000000000001</v>
      </c>
      <c r="BM91">
        <v>8.8620000000000001</v>
      </c>
      <c r="BN91" t="s">
        <v>425</v>
      </c>
      <c r="BO91" s="1">
        <v>0.66400462962962958</v>
      </c>
      <c r="BP91" s="3">
        <f t="shared" si="10"/>
        <v>1.0105350550963133</v>
      </c>
      <c r="BQ91" s="3">
        <f t="shared" si="11"/>
        <v>0.98825829903691464</v>
      </c>
    </row>
    <row r="92" spans="1:69" hidden="1" x14ac:dyDescent="0.35">
      <c r="A92">
        <v>90</v>
      </c>
      <c r="B92">
        <v>4174</v>
      </c>
      <c r="D92">
        <v>15</v>
      </c>
      <c r="E92">
        <v>3</v>
      </c>
      <c r="G92">
        <v>16335</v>
      </c>
      <c r="I92" t="s">
        <v>182</v>
      </c>
      <c r="L92" t="s">
        <v>426</v>
      </c>
      <c r="M92">
        <v>9.09</v>
      </c>
      <c r="N92">
        <v>38.799999999999997</v>
      </c>
      <c r="O92">
        <v>8.52</v>
      </c>
      <c r="P92" s="3">
        <f t="shared" si="6"/>
        <v>0.93729372937293731</v>
      </c>
      <c r="Q92">
        <v>31.7</v>
      </c>
      <c r="R92" s="3">
        <f t="shared" si="7"/>
        <v>0.81701030927835061</v>
      </c>
      <c r="S92">
        <v>270</v>
      </c>
      <c r="T92">
        <v>9.2219999999999995</v>
      </c>
      <c r="U92">
        <v>37.82</v>
      </c>
      <c r="V92">
        <v>8.7479999999999993</v>
      </c>
      <c r="W92" s="3">
        <f t="shared" si="8"/>
        <v>0.94860117111255693</v>
      </c>
      <c r="X92">
        <v>30.56</v>
      </c>
      <c r="Y92" s="3">
        <f t="shared" si="9"/>
        <v>0.80803807509254355</v>
      </c>
      <c r="Z92">
        <v>267.3</v>
      </c>
      <c r="AA92">
        <v>76.599999999999994</v>
      </c>
      <c r="AB92">
        <v>25.1</v>
      </c>
      <c r="AC92" t="s">
        <v>64</v>
      </c>
      <c r="AE92" t="s">
        <v>65</v>
      </c>
      <c r="AF92" t="s">
        <v>66</v>
      </c>
      <c r="AG92" t="s">
        <v>427</v>
      </c>
      <c r="AH92" s="1">
        <v>0.38597222222222222</v>
      </c>
      <c r="AI92" t="s">
        <v>68</v>
      </c>
      <c r="AJ92" t="s">
        <v>69</v>
      </c>
      <c r="AO92">
        <v>7.3630000000000004</v>
      </c>
      <c r="AP92">
        <v>39.703000000000003</v>
      </c>
      <c r="AQ92">
        <v>38.4</v>
      </c>
      <c r="AR92">
        <v>1.81</v>
      </c>
      <c r="AS92">
        <v>35.348999999999997</v>
      </c>
      <c r="AT92">
        <v>204.6</v>
      </c>
      <c r="AY92">
        <v>2.36</v>
      </c>
      <c r="AZ92" t="s">
        <v>428</v>
      </c>
      <c r="BB92" t="s">
        <v>428</v>
      </c>
      <c r="BD92" t="s">
        <v>68</v>
      </c>
      <c r="BE92" t="s">
        <v>453</v>
      </c>
      <c r="BF92" t="s">
        <v>454</v>
      </c>
      <c r="BG92" t="s">
        <v>455</v>
      </c>
      <c r="BH92">
        <v>0</v>
      </c>
      <c r="BI92">
        <v>0</v>
      </c>
      <c r="BJ92">
        <v>2</v>
      </c>
      <c r="BK92" t="s">
        <v>456</v>
      </c>
      <c r="BL92">
        <v>8.8620000000000001</v>
      </c>
      <c r="BM92">
        <v>8.8620000000000001</v>
      </c>
      <c r="BN92" t="s">
        <v>425</v>
      </c>
      <c r="BO92" s="1">
        <v>0.66400462962962958</v>
      </c>
      <c r="BP92" s="3">
        <f t="shared" si="10"/>
        <v>1.0120639255179744</v>
      </c>
      <c r="BQ92" s="3">
        <f t="shared" si="11"/>
        <v>0.98901821178519511</v>
      </c>
    </row>
    <row r="93" spans="1:69" hidden="1" x14ac:dyDescent="0.35">
      <c r="A93">
        <v>91</v>
      </c>
      <c r="B93">
        <v>4176</v>
      </c>
      <c r="D93">
        <v>15</v>
      </c>
      <c r="E93">
        <v>3</v>
      </c>
      <c r="G93">
        <v>16335</v>
      </c>
      <c r="I93" t="s">
        <v>182</v>
      </c>
      <c r="L93" t="s">
        <v>421</v>
      </c>
      <c r="M93">
        <v>9.09</v>
      </c>
      <c r="N93">
        <v>38.799999999999997</v>
      </c>
      <c r="O93">
        <v>8.52</v>
      </c>
      <c r="P93" s="3">
        <f t="shared" si="6"/>
        <v>0.93729372937293731</v>
      </c>
      <c r="Q93">
        <v>31.7</v>
      </c>
      <c r="R93" s="3">
        <f t="shared" si="7"/>
        <v>0.81701030927835061</v>
      </c>
      <c r="S93">
        <v>270</v>
      </c>
      <c r="T93">
        <v>9.1969999999999992</v>
      </c>
      <c r="U93">
        <v>37.74</v>
      </c>
      <c r="V93">
        <v>8.7189999999999994</v>
      </c>
      <c r="W93" s="3">
        <f t="shared" si="8"/>
        <v>0.94802653039034468</v>
      </c>
      <c r="X93">
        <v>30.44</v>
      </c>
      <c r="Y93" s="3">
        <f t="shared" si="9"/>
        <v>0.80657127715951249</v>
      </c>
      <c r="Z93">
        <v>265.39999999999998</v>
      </c>
      <c r="AA93">
        <v>76.5</v>
      </c>
      <c r="AB93">
        <v>24.9</v>
      </c>
      <c r="AC93" t="s">
        <v>64</v>
      </c>
      <c r="AE93" t="s">
        <v>65</v>
      </c>
      <c r="AF93" t="s">
        <v>66</v>
      </c>
      <c r="AG93" s="2">
        <v>44198</v>
      </c>
      <c r="AH93" s="1">
        <v>0.65903935185185181</v>
      </c>
      <c r="AI93" t="s">
        <v>68</v>
      </c>
      <c r="AJ93" t="s">
        <v>69</v>
      </c>
      <c r="AO93">
        <v>7.3230000000000004</v>
      </c>
      <c r="AP93">
        <v>38.99</v>
      </c>
      <c r="AQ93">
        <v>38.4</v>
      </c>
      <c r="AR93">
        <v>1.83</v>
      </c>
      <c r="AS93">
        <v>34.786000000000001</v>
      </c>
      <c r="AT93">
        <v>204.6</v>
      </c>
      <c r="AY93">
        <v>2.36</v>
      </c>
      <c r="AZ93" s="2">
        <v>44257</v>
      </c>
      <c r="BB93" s="2">
        <v>44257</v>
      </c>
      <c r="BD93" t="s">
        <v>68</v>
      </c>
      <c r="BE93" t="s">
        <v>457</v>
      </c>
      <c r="BF93" t="s">
        <v>458</v>
      </c>
      <c r="BG93" t="s">
        <v>459</v>
      </c>
      <c r="BH93">
        <v>0</v>
      </c>
      <c r="BI93">
        <v>1</v>
      </c>
      <c r="BJ93">
        <v>2</v>
      </c>
      <c r="BK93" t="s">
        <v>460</v>
      </c>
      <c r="BL93">
        <v>8.8620000000000001</v>
      </c>
      <c r="BM93">
        <v>8.8620000000000001</v>
      </c>
      <c r="BN93" t="s">
        <v>425</v>
      </c>
      <c r="BO93" s="1">
        <v>0.66874999999999996</v>
      </c>
      <c r="BP93" s="3">
        <f t="shared" si="10"/>
        <v>1.011450840522093</v>
      </c>
      <c r="BQ93" s="3">
        <f t="shared" si="11"/>
        <v>0.98722288813214765</v>
      </c>
    </row>
    <row r="94" spans="1:69" hidden="1" x14ac:dyDescent="0.35">
      <c r="A94">
        <v>92</v>
      </c>
      <c r="B94">
        <v>4176</v>
      </c>
      <c r="D94">
        <v>15</v>
      </c>
      <c r="E94">
        <v>3</v>
      </c>
      <c r="G94">
        <v>16335</v>
      </c>
      <c r="I94" t="s">
        <v>182</v>
      </c>
      <c r="L94" t="s">
        <v>426</v>
      </c>
      <c r="M94">
        <v>9.09</v>
      </c>
      <c r="N94">
        <v>38.799999999999997</v>
      </c>
      <c r="O94">
        <v>8.52</v>
      </c>
      <c r="P94" s="3">
        <f t="shared" si="6"/>
        <v>0.93729372937293731</v>
      </c>
      <c r="Q94">
        <v>31.7</v>
      </c>
      <c r="R94" s="3">
        <f t="shared" si="7"/>
        <v>0.81701030927835061</v>
      </c>
      <c r="S94">
        <v>270</v>
      </c>
      <c r="T94">
        <v>9.2270000000000003</v>
      </c>
      <c r="U94">
        <v>37.83</v>
      </c>
      <c r="V94">
        <v>8.7569999999999997</v>
      </c>
      <c r="W94" s="3">
        <f t="shared" si="8"/>
        <v>0.94906253386799599</v>
      </c>
      <c r="X94">
        <v>30.63</v>
      </c>
      <c r="Y94" s="3">
        <f t="shared" si="9"/>
        <v>0.80967486122125298</v>
      </c>
      <c r="Z94">
        <v>268.2</v>
      </c>
      <c r="AA94">
        <v>76.900000000000006</v>
      </c>
      <c r="AB94">
        <v>24.9</v>
      </c>
      <c r="AC94" t="s">
        <v>64</v>
      </c>
      <c r="AE94" t="s">
        <v>65</v>
      </c>
      <c r="AF94" t="s">
        <v>66</v>
      </c>
      <c r="AG94" t="s">
        <v>427</v>
      </c>
      <c r="AH94" s="1">
        <v>0.40454861111111112</v>
      </c>
      <c r="AI94" t="s">
        <v>68</v>
      </c>
      <c r="AJ94" t="s">
        <v>69</v>
      </c>
      <c r="AO94">
        <v>7.3630000000000004</v>
      </c>
      <c r="AP94">
        <v>39.552999999999997</v>
      </c>
      <c r="AQ94">
        <v>38.4</v>
      </c>
      <c r="AR94">
        <v>1.84</v>
      </c>
      <c r="AS94">
        <v>35.348999999999997</v>
      </c>
      <c r="AT94">
        <v>204.6</v>
      </c>
      <c r="AY94">
        <v>2.36</v>
      </c>
      <c r="AZ94" t="s">
        <v>428</v>
      </c>
      <c r="BB94" t="s">
        <v>428</v>
      </c>
      <c r="BD94" t="s">
        <v>68</v>
      </c>
      <c r="BE94" t="s">
        <v>461</v>
      </c>
      <c r="BF94" t="s">
        <v>462</v>
      </c>
      <c r="BG94" t="s">
        <v>463</v>
      </c>
      <c r="BH94">
        <v>0</v>
      </c>
      <c r="BI94">
        <v>0</v>
      </c>
      <c r="BJ94">
        <v>2</v>
      </c>
      <c r="BK94" t="s">
        <v>464</v>
      </c>
      <c r="BL94">
        <v>8.8620000000000001</v>
      </c>
      <c r="BM94">
        <v>8.8620000000000001</v>
      </c>
      <c r="BN94" t="s">
        <v>425</v>
      </c>
      <c r="BO94" s="1">
        <v>0.66874999999999996</v>
      </c>
      <c r="BP94" s="3">
        <f t="shared" si="10"/>
        <v>1.0125561540915591</v>
      </c>
      <c r="BQ94" s="3">
        <f t="shared" si="11"/>
        <v>0.99102159669983003</v>
      </c>
    </row>
    <row r="95" spans="1:69" hidden="1" x14ac:dyDescent="0.35">
      <c r="A95">
        <v>93</v>
      </c>
      <c r="B95">
        <v>4181</v>
      </c>
      <c r="D95">
        <v>15</v>
      </c>
      <c r="E95">
        <v>3</v>
      </c>
      <c r="G95">
        <v>16335</v>
      </c>
      <c r="I95" t="s">
        <v>182</v>
      </c>
      <c r="L95" t="s">
        <v>421</v>
      </c>
      <c r="M95">
        <v>9.09</v>
      </c>
      <c r="N95">
        <v>38.799999999999997</v>
      </c>
      <c r="O95">
        <v>8.52</v>
      </c>
      <c r="P95" s="3">
        <f t="shared" si="6"/>
        <v>0.93729372937293731</v>
      </c>
      <c r="Q95">
        <v>31.7</v>
      </c>
      <c r="R95" s="3">
        <f t="shared" si="7"/>
        <v>0.81701030927835061</v>
      </c>
      <c r="S95">
        <v>270</v>
      </c>
      <c r="T95">
        <v>9.1370000000000005</v>
      </c>
      <c r="U95">
        <v>37.68</v>
      </c>
      <c r="V95">
        <v>8.6820000000000004</v>
      </c>
      <c r="W95" s="3">
        <f t="shared" si="8"/>
        <v>0.95020247345955999</v>
      </c>
      <c r="X95">
        <v>30.43</v>
      </c>
      <c r="Y95" s="3">
        <f t="shared" si="9"/>
        <v>0.80759023354564752</v>
      </c>
      <c r="Z95">
        <v>264.2</v>
      </c>
      <c r="AA95">
        <v>76.7</v>
      </c>
      <c r="AB95">
        <v>25.3</v>
      </c>
      <c r="AC95" t="s">
        <v>64</v>
      </c>
      <c r="AE95" t="s">
        <v>65</v>
      </c>
      <c r="AF95" t="s">
        <v>66</v>
      </c>
      <c r="AG95" s="2">
        <v>44198</v>
      </c>
      <c r="AH95" s="1">
        <v>0.66266203703703708</v>
      </c>
      <c r="AI95" t="s">
        <v>68</v>
      </c>
      <c r="AJ95" t="s">
        <v>69</v>
      </c>
      <c r="AO95">
        <v>7.3230000000000004</v>
      </c>
      <c r="AP95">
        <v>38.914000000000001</v>
      </c>
      <c r="AQ95">
        <v>38.4</v>
      </c>
      <c r="AR95">
        <v>1.83</v>
      </c>
      <c r="AS95">
        <v>34.786000000000001</v>
      </c>
      <c r="AT95">
        <v>204.6</v>
      </c>
      <c r="AY95">
        <v>2.36</v>
      </c>
      <c r="AZ95" s="2">
        <v>44257</v>
      </c>
      <c r="BB95" s="2">
        <v>44257</v>
      </c>
      <c r="BD95" t="s">
        <v>68</v>
      </c>
      <c r="BE95" t="s">
        <v>465</v>
      </c>
      <c r="BF95" t="s">
        <v>466</v>
      </c>
      <c r="BG95" t="s">
        <v>467</v>
      </c>
      <c r="BH95">
        <v>0</v>
      </c>
      <c r="BI95">
        <v>1</v>
      </c>
      <c r="BJ95">
        <v>2</v>
      </c>
      <c r="BK95" t="s">
        <v>468</v>
      </c>
      <c r="BL95">
        <v>8.8620000000000001</v>
      </c>
      <c r="BM95">
        <v>8.8620000000000001</v>
      </c>
      <c r="BN95" t="s">
        <v>425</v>
      </c>
      <c r="BO95" s="1">
        <v>0.680150462962963</v>
      </c>
      <c r="BP95" s="3">
        <f t="shared" si="10"/>
        <v>1.0137723572473474</v>
      </c>
      <c r="BQ95" s="3">
        <f t="shared" si="11"/>
        <v>0.98847006503378931</v>
      </c>
    </row>
    <row r="96" spans="1:69" hidden="1" x14ac:dyDescent="0.35">
      <c r="A96">
        <v>94</v>
      </c>
      <c r="B96">
        <v>4181</v>
      </c>
      <c r="D96">
        <v>15</v>
      </c>
      <c r="E96">
        <v>3</v>
      </c>
      <c r="G96">
        <v>16335</v>
      </c>
      <c r="I96" t="s">
        <v>182</v>
      </c>
      <c r="L96" t="s">
        <v>426</v>
      </c>
      <c r="M96">
        <v>9.09</v>
      </c>
      <c r="N96">
        <v>38.799999999999997</v>
      </c>
      <c r="O96">
        <v>8.52</v>
      </c>
      <c r="P96" s="3">
        <f t="shared" si="6"/>
        <v>0.93729372937293731</v>
      </c>
      <c r="Q96">
        <v>31.7</v>
      </c>
      <c r="R96" s="3">
        <f t="shared" si="7"/>
        <v>0.81701030927835061</v>
      </c>
      <c r="S96">
        <v>270</v>
      </c>
      <c r="T96">
        <v>9.1999999999999993</v>
      </c>
      <c r="U96">
        <v>37.83</v>
      </c>
      <c r="V96">
        <v>8.7409999999999997</v>
      </c>
      <c r="W96" s="3">
        <f t="shared" si="8"/>
        <v>0.95010869565217393</v>
      </c>
      <c r="X96">
        <v>30.68</v>
      </c>
      <c r="Y96" s="3">
        <f t="shared" si="9"/>
        <v>0.81099656357388317</v>
      </c>
      <c r="Z96">
        <v>268.10000000000002</v>
      </c>
      <c r="AA96">
        <v>77.099999999999994</v>
      </c>
      <c r="AB96">
        <v>24.9</v>
      </c>
      <c r="AC96" t="s">
        <v>64</v>
      </c>
      <c r="AE96" t="s">
        <v>65</v>
      </c>
      <c r="AF96" t="s">
        <v>66</v>
      </c>
      <c r="AG96" t="s">
        <v>427</v>
      </c>
      <c r="AH96" s="1">
        <v>0.40959490740740739</v>
      </c>
      <c r="AI96" t="s">
        <v>68</v>
      </c>
      <c r="AJ96" t="s">
        <v>69</v>
      </c>
      <c r="AO96">
        <v>7.3630000000000004</v>
      </c>
      <c r="AP96">
        <v>39.515000000000001</v>
      </c>
      <c r="AQ96">
        <v>38.4</v>
      </c>
      <c r="AR96">
        <v>1.84</v>
      </c>
      <c r="AS96">
        <v>35.387</v>
      </c>
      <c r="AT96">
        <v>204.6</v>
      </c>
      <c r="AY96">
        <v>2.36</v>
      </c>
      <c r="AZ96" t="s">
        <v>428</v>
      </c>
      <c r="BB96" t="s">
        <v>428</v>
      </c>
      <c r="BD96" t="s">
        <v>68</v>
      </c>
      <c r="BE96" t="s">
        <v>469</v>
      </c>
      <c r="BF96" t="s">
        <v>470</v>
      </c>
      <c r="BG96" t="s">
        <v>471</v>
      </c>
      <c r="BH96">
        <v>0</v>
      </c>
      <c r="BI96">
        <v>0</v>
      </c>
      <c r="BJ96">
        <v>2</v>
      </c>
      <c r="BK96" t="s">
        <v>472</v>
      </c>
      <c r="BL96">
        <v>8.8620000000000001</v>
      </c>
      <c r="BM96">
        <v>8.8620000000000001</v>
      </c>
      <c r="BN96" t="s">
        <v>425</v>
      </c>
      <c r="BO96" s="1">
        <v>0.680150462962963</v>
      </c>
      <c r="BP96" s="3">
        <f t="shared" si="10"/>
        <v>1.0136723055725658</v>
      </c>
      <c r="BQ96" s="3">
        <f t="shared" si="11"/>
        <v>0.992639327024185</v>
      </c>
    </row>
    <row r="97" spans="1:69" hidden="1" x14ac:dyDescent="0.35">
      <c r="A97">
        <v>95</v>
      </c>
      <c r="B97">
        <v>4182</v>
      </c>
      <c r="D97">
        <v>15</v>
      </c>
      <c r="E97">
        <v>3</v>
      </c>
      <c r="G97">
        <v>16335</v>
      </c>
      <c r="I97" t="s">
        <v>182</v>
      </c>
      <c r="L97" t="s">
        <v>421</v>
      </c>
      <c r="M97">
        <v>9.09</v>
      </c>
      <c r="N97">
        <v>38.799999999999997</v>
      </c>
      <c r="O97">
        <v>8.52</v>
      </c>
      <c r="P97" s="3">
        <f t="shared" si="6"/>
        <v>0.93729372937293731</v>
      </c>
      <c r="Q97">
        <v>31.7</v>
      </c>
      <c r="R97" s="3">
        <f t="shared" si="7"/>
        <v>0.81701030927835061</v>
      </c>
      <c r="S97">
        <v>270</v>
      </c>
      <c r="T97">
        <v>9.1690000000000005</v>
      </c>
      <c r="U97">
        <v>37.76</v>
      </c>
      <c r="V97">
        <v>8.7010000000000005</v>
      </c>
      <c r="W97" s="3">
        <f t="shared" si="8"/>
        <v>0.94895844694077869</v>
      </c>
      <c r="X97">
        <v>30.53</v>
      </c>
      <c r="Y97" s="3">
        <f t="shared" si="9"/>
        <v>0.80852754237288138</v>
      </c>
      <c r="Z97">
        <v>265.60000000000002</v>
      </c>
      <c r="AA97">
        <v>76.7</v>
      </c>
      <c r="AB97">
        <v>24.9</v>
      </c>
      <c r="AC97" t="s">
        <v>64</v>
      </c>
      <c r="AE97" t="s">
        <v>65</v>
      </c>
      <c r="AF97" t="s">
        <v>66</v>
      </c>
      <c r="AG97" s="2">
        <v>44198</v>
      </c>
      <c r="AH97" s="1">
        <v>0.65581018518518519</v>
      </c>
      <c r="AI97" t="s">
        <v>68</v>
      </c>
      <c r="AJ97" t="s">
        <v>69</v>
      </c>
      <c r="AO97">
        <v>7.3230000000000004</v>
      </c>
      <c r="AP97">
        <v>39.101999999999997</v>
      </c>
      <c r="AQ97">
        <v>38.4</v>
      </c>
      <c r="AR97">
        <v>1.835</v>
      </c>
      <c r="AS97">
        <v>34.899000000000001</v>
      </c>
      <c r="AT97">
        <v>204.6</v>
      </c>
      <c r="AY97">
        <v>2.36</v>
      </c>
      <c r="AZ97" s="2">
        <v>44257</v>
      </c>
      <c r="BB97" s="2">
        <v>44257</v>
      </c>
      <c r="BD97" t="s">
        <v>68</v>
      </c>
      <c r="BE97" t="s">
        <v>473</v>
      </c>
      <c r="BF97" t="s">
        <v>474</v>
      </c>
      <c r="BG97" t="s">
        <v>475</v>
      </c>
      <c r="BH97">
        <v>0</v>
      </c>
      <c r="BI97">
        <v>1</v>
      </c>
      <c r="BJ97">
        <v>2</v>
      </c>
      <c r="BK97" t="s">
        <v>476</v>
      </c>
      <c r="BL97">
        <v>8.8620000000000001</v>
      </c>
      <c r="BM97">
        <v>8.8620000000000001</v>
      </c>
      <c r="BN97" t="s">
        <v>425</v>
      </c>
      <c r="BO97" s="1">
        <v>0.6824189814814815</v>
      </c>
      <c r="BP97" s="3">
        <f t="shared" si="10"/>
        <v>1.0124451036023097</v>
      </c>
      <c r="BQ97" s="3">
        <f t="shared" si="11"/>
        <v>0.98961730738384213</v>
      </c>
    </row>
    <row r="98" spans="1:69" hidden="1" x14ac:dyDescent="0.35">
      <c r="A98">
        <v>96</v>
      </c>
      <c r="B98">
        <v>4182</v>
      </c>
      <c r="D98">
        <v>15</v>
      </c>
      <c r="E98">
        <v>3</v>
      </c>
      <c r="G98">
        <v>16335</v>
      </c>
      <c r="I98" t="s">
        <v>182</v>
      </c>
      <c r="L98" t="s">
        <v>426</v>
      </c>
      <c r="M98">
        <v>9.09</v>
      </c>
      <c r="N98">
        <v>38.799999999999997</v>
      </c>
      <c r="O98">
        <v>8.52</v>
      </c>
      <c r="P98" s="3">
        <f t="shared" si="6"/>
        <v>0.93729372937293731</v>
      </c>
      <c r="Q98">
        <v>31.7</v>
      </c>
      <c r="R98" s="3">
        <f t="shared" si="7"/>
        <v>0.81701030927835061</v>
      </c>
      <c r="S98">
        <v>270</v>
      </c>
      <c r="T98">
        <v>9.2110000000000003</v>
      </c>
      <c r="U98">
        <v>37.85</v>
      </c>
      <c r="V98">
        <v>8.7390000000000008</v>
      </c>
      <c r="W98" s="3">
        <f t="shared" si="8"/>
        <v>0.94875692107263065</v>
      </c>
      <c r="X98">
        <v>30.76</v>
      </c>
      <c r="Y98" s="3">
        <f t="shared" si="9"/>
        <v>0.81268163804491411</v>
      </c>
      <c r="Z98">
        <v>268.8</v>
      </c>
      <c r="AA98">
        <v>77.099999999999994</v>
      </c>
      <c r="AB98">
        <v>25.1</v>
      </c>
      <c r="AC98" t="s">
        <v>64</v>
      </c>
      <c r="AE98" t="s">
        <v>65</v>
      </c>
      <c r="AF98" t="s">
        <v>66</v>
      </c>
      <c r="AG98" t="s">
        <v>427</v>
      </c>
      <c r="AH98" s="1">
        <v>0.41054398148148147</v>
      </c>
      <c r="AI98" t="s">
        <v>68</v>
      </c>
      <c r="AJ98" t="s">
        <v>69</v>
      </c>
      <c r="AO98">
        <v>7.3630000000000004</v>
      </c>
      <c r="AP98">
        <v>39.14</v>
      </c>
      <c r="AQ98">
        <v>38.4</v>
      </c>
      <c r="AR98">
        <v>1.845</v>
      </c>
      <c r="AS98">
        <v>35.235999999999997</v>
      </c>
      <c r="AT98">
        <v>204.6</v>
      </c>
      <c r="AY98">
        <v>2.36</v>
      </c>
      <c r="AZ98" t="s">
        <v>428</v>
      </c>
      <c r="BB98" t="s">
        <v>428</v>
      </c>
      <c r="BD98" t="s">
        <v>68</v>
      </c>
      <c r="BE98" t="s">
        <v>477</v>
      </c>
      <c r="BF98" t="s">
        <v>478</v>
      </c>
      <c r="BG98" t="s">
        <v>479</v>
      </c>
      <c r="BH98">
        <v>0</v>
      </c>
      <c r="BI98">
        <v>0</v>
      </c>
      <c r="BJ98">
        <v>2</v>
      </c>
      <c r="BK98" t="s">
        <v>480</v>
      </c>
      <c r="BL98">
        <v>8.8620000000000001</v>
      </c>
      <c r="BM98">
        <v>8.8620000000000001</v>
      </c>
      <c r="BN98" t="s">
        <v>425</v>
      </c>
      <c r="BO98" s="1">
        <v>0.6824189814814815</v>
      </c>
      <c r="BP98" s="3">
        <f t="shared" si="10"/>
        <v>1.0122300953697432</v>
      </c>
      <c r="BQ98" s="3">
        <f t="shared" si="11"/>
        <v>0.99470181565118809</v>
      </c>
    </row>
    <row r="99" spans="1:69" hidden="1" x14ac:dyDescent="0.35">
      <c r="A99">
        <v>97</v>
      </c>
      <c r="B99">
        <v>4179</v>
      </c>
      <c r="D99">
        <v>15</v>
      </c>
      <c r="E99">
        <v>3</v>
      </c>
      <c r="G99">
        <v>16335</v>
      </c>
      <c r="I99" t="s">
        <v>182</v>
      </c>
      <c r="L99" t="s">
        <v>421</v>
      </c>
      <c r="M99">
        <v>9.09</v>
      </c>
      <c r="N99">
        <v>38.799999999999997</v>
      </c>
      <c r="O99">
        <v>8.52</v>
      </c>
      <c r="P99" s="3">
        <f t="shared" si="6"/>
        <v>0.93729372937293731</v>
      </c>
      <c r="Q99">
        <v>31.7</v>
      </c>
      <c r="R99" s="3">
        <f t="shared" si="7"/>
        <v>0.81701030927835061</v>
      </c>
      <c r="S99">
        <v>270</v>
      </c>
      <c r="T99">
        <v>9.1370000000000005</v>
      </c>
      <c r="U99">
        <v>37.69</v>
      </c>
      <c r="V99">
        <v>8.6890000000000001</v>
      </c>
      <c r="W99" s="3">
        <f t="shared" si="8"/>
        <v>0.95096858925248984</v>
      </c>
      <c r="X99">
        <v>30.44</v>
      </c>
      <c r="Y99" s="3">
        <f t="shared" si="9"/>
        <v>0.80764128416025482</v>
      </c>
      <c r="Z99">
        <v>264.5</v>
      </c>
      <c r="AA99">
        <v>76.8</v>
      </c>
      <c r="AB99">
        <v>25.1</v>
      </c>
      <c r="AC99" t="s">
        <v>64</v>
      </c>
      <c r="AE99" t="s">
        <v>65</v>
      </c>
      <c r="AF99" t="s">
        <v>66</v>
      </c>
      <c r="AG99" s="2">
        <v>44198</v>
      </c>
      <c r="AH99" s="1">
        <v>0.66030092592592593</v>
      </c>
      <c r="AI99" t="s">
        <v>68</v>
      </c>
      <c r="AJ99" t="s">
        <v>69</v>
      </c>
      <c r="AO99">
        <v>7.3230000000000004</v>
      </c>
      <c r="AP99">
        <v>38.838999999999999</v>
      </c>
      <c r="AQ99">
        <v>38.4</v>
      </c>
      <c r="AR99">
        <v>1.83</v>
      </c>
      <c r="AS99">
        <v>34.710999999999999</v>
      </c>
      <c r="AT99">
        <v>150.6</v>
      </c>
      <c r="AY99">
        <v>2.36</v>
      </c>
      <c r="AZ99" s="2">
        <v>44257</v>
      </c>
      <c r="BB99" s="2">
        <v>44257</v>
      </c>
      <c r="BD99" t="s">
        <v>68</v>
      </c>
      <c r="BE99" t="s">
        <v>481</v>
      </c>
      <c r="BF99" t="s">
        <v>482</v>
      </c>
      <c r="BG99" t="s">
        <v>483</v>
      </c>
      <c r="BH99">
        <v>0</v>
      </c>
      <c r="BI99">
        <v>1</v>
      </c>
      <c r="BJ99">
        <v>2</v>
      </c>
      <c r="BK99" t="s">
        <v>484</v>
      </c>
      <c r="BL99">
        <v>8.8620000000000001</v>
      </c>
      <c r="BM99">
        <v>8.8620000000000001</v>
      </c>
      <c r="BN99" t="s">
        <v>425</v>
      </c>
      <c r="BO99" s="1">
        <v>0.67640046296296297</v>
      </c>
      <c r="BP99" s="3">
        <f t="shared" si="10"/>
        <v>1.0145897272658606</v>
      </c>
      <c r="BQ99" s="3">
        <f t="shared" si="11"/>
        <v>0.98853254969772508</v>
      </c>
    </row>
    <row r="100" spans="1:69" hidden="1" x14ac:dyDescent="0.35">
      <c r="A100">
        <v>98</v>
      </c>
      <c r="B100">
        <v>4179</v>
      </c>
      <c r="D100">
        <v>15</v>
      </c>
      <c r="E100">
        <v>3</v>
      </c>
      <c r="G100">
        <v>16335</v>
      </c>
      <c r="I100" t="s">
        <v>182</v>
      </c>
      <c r="L100" t="s">
        <v>426</v>
      </c>
      <c r="M100">
        <v>9.09</v>
      </c>
      <c r="N100">
        <v>38.799999999999997</v>
      </c>
      <c r="O100">
        <v>8.52</v>
      </c>
      <c r="P100" s="3">
        <f t="shared" si="6"/>
        <v>0.93729372937293731</v>
      </c>
      <c r="Q100">
        <v>31.7</v>
      </c>
      <c r="R100" s="3">
        <f t="shared" si="7"/>
        <v>0.81701030927835061</v>
      </c>
      <c r="S100">
        <v>270</v>
      </c>
      <c r="T100">
        <v>9.2089999999999996</v>
      </c>
      <c r="U100">
        <v>37.840000000000003</v>
      </c>
      <c r="V100">
        <v>8.75</v>
      </c>
      <c r="W100" s="3">
        <f t="shared" si="8"/>
        <v>0.95015745466391577</v>
      </c>
      <c r="X100">
        <v>30.66</v>
      </c>
      <c r="Y100" s="3">
        <f t="shared" si="9"/>
        <v>0.81025369978858341</v>
      </c>
      <c r="Z100">
        <v>268.3</v>
      </c>
      <c r="AA100">
        <v>77</v>
      </c>
      <c r="AB100">
        <v>25.2</v>
      </c>
      <c r="AC100" t="s">
        <v>64</v>
      </c>
      <c r="AE100" t="s">
        <v>65</v>
      </c>
      <c r="AF100" t="s">
        <v>66</v>
      </c>
      <c r="AG100" t="s">
        <v>427</v>
      </c>
      <c r="AH100" s="1">
        <v>0.40763888888888888</v>
      </c>
      <c r="AI100" t="s">
        <v>68</v>
      </c>
      <c r="AJ100" t="s">
        <v>69</v>
      </c>
      <c r="AO100">
        <v>7.3680000000000003</v>
      </c>
      <c r="AP100">
        <v>35.94</v>
      </c>
      <c r="AQ100">
        <v>3.41</v>
      </c>
      <c r="AY100">
        <v>2.36</v>
      </c>
      <c r="AZ100" t="s">
        <v>428</v>
      </c>
      <c r="BB100" t="s">
        <v>428</v>
      </c>
      <c r="BD100" t="s">
        <v>68</v>
      </c>
      <c r="BE100" t="s">
        <v>485</v>
      </c>
      <c r="BG100" t="s">
        <v>486</v>
      </c>
      <c r="BH100">
        <v>0</v>
      </c>
      <c r="BI100">
        <v>0</v>
      </c>
      <c r="BJ100">
        <v>2</v>
      </c>
      <c r="BK100" t="s">
        <v>487</v>
      </c>
      <c r="BL100">
        <v>8.8620000000000001</v>
      </c>
      <c r="BM100">
        <v>8.8620000000000001</v>
      </c>
      <c r="BN100" t="s">
        <v>425</v>
      </c>
      <c r="BO100" s="1">
        <v>0.67640046296296297</v>
      </c>
      <c r="BP100" s="3">
        <f t="shared" si="10"/>
        <v>1.0137243266308678</v>
      </c>
      <c r="BQ100" s="3">
        <f t="shared" si="11"/>
        <v>0.99173008049832911</v>
      </c>
    </row>
    <row r="101" spans="1:69" hidden="1" x14ac:dyDescent="0.35">
      <c r="A101">
        <v>99</v>
      </c>
      <c r="B101">
        <v>4177</v>
      </c>
      <c r="D101">
        <v>15</v>
      </c>
      <c r="E101">
        <v>3</v>
      </c>
      <c r="G101">
        <v>16335</v>
      </c>
      <c r="I101" t="s">
        <v>182</v>
      </c>
      <c r="L101" t="s">
        <v>421</v>
      </c>
      <c r="M101">
        <v>9.09</v>
      </c>
      <c r="N101">
        <v>38.799999999999997</v>
      </c>
      <c r="O101">
        <v>8.52</v>
      </c>
      <c r="P101" s="3">
        <f t="shared" si="6"/>
        <v>0.93729372937293731</v>
      </c>
      <c r="Q101">
        <v>31.7</v>
      </c>
      <c r="R101" s="3">
        <f t="shared" si="7"/>
        <v>0.81701030927835061</v>
      </c>
      <c r="S101">
        <v>270</v>
      </c>
      <c r="T101">
        <v>9.1660000000000004</v>
      </c>
      <c r="U101">
        <v>37.78</v>
      </c>
      <c r="V101">
        <v>8.702</v>
      </c>
      <c r="W101" s="3">
        <f t="shared" si="8"/>
        <v>0.94937813659175208</v>
      </c>
      <c r="X101">
        <v>30.56</v>
      </c>
      <c r="Y101" s="3">
        <f t="shared" si="9"/>
        <v>0.80889359449444143</v>
      </c>
      <c r="Z101">
        <v>265.89999999999998</v>
      </c>
      <c r="AA101">
        <v>76.8</v>
      </c>
      <c r="AB101">
        <v>25.2</v>
      </c>
      <c r="AC101" t="s">
        <v>64</v>
      </c>
      <c r="AE101" t="s">
        <v>65</v>
      </c>
      <c r="AF101" t="s">
        <v>66</v>
      </c>
      <c r="AG101" s="2">
        <v>44198</v>
      </c>
      <c r="AH101" s="1">
        <v>0.65972222222222221</v>
      </c>
      <c r="AI101" t="s">
        <v>68</v>
      </c>
      <c r="AJ101" t="s">
        <v>69</v>
      </c>
      <c r="AO101">
        <v>7.3280000000000003</v>
      </c>
      <c r="AP101">
        <v>38.99</v>
      </c>
      <c r="AQ101">
        <v>38.4</v>
      </c>
      <c r="AR101">
        <v>1.83</v>
      </c>
      <c r="AS101">
        <v>34.747999999999998</v>
      </c>
      <c r="AT101">
        <v>204.6</v>
      </c>
      <c r="AY101">
        <v>2.36</v>
      </c>
      <c r="AZ101" s="2">
        <v>44257</v>
      </c>
      <c r="BB101" s="2">
        <v>44257</v>
      </c>
      <c r="BD101" t="s">
        <v>68</v>
      </c>
      <c r="BE101" t="s">
        <v>488</v>
      </c>
      <c r="BF101" t="s">
        <v>489</v>
      </c>
      <c r="BG101" t="s">
        <v>490</v>
      </c>
      <c r="BH101">
        <v>0</v>
      </c>
      <c r="BI101">
        <v>1</v>
      </c>
      <c r="BJ101">
        <v>2</v>
      </c>
      <c r="BK101" t="s">
        <v>491</v>
      </c>
      <c r="BL101">
        <v>8.8620000000000001</v>
      </c>
      <c r="BM101">
        <v>8.8620000000000001</v>
      </c>
      <c r="BN101" t="s">
        <v>425</v>
      </c>
      <c r="BO101" s="1">
        <v>0.67116898148148152</v>
      </c>
      <c r="BP101" s="3">
        <f t="shared" si="10"/>
        <v>1.0128928710820453</v>
      </c>
      <c r="BQ101" s="3">
        <f t="shared" si="11"/>
        <v>0.99006534594272311</v>
      </c>
    </row>
    <row r="102" spans="1:69" hidden="1" x14ac:dyDescent="0.35">
      <c r="A102">
        <v>100</v>
      </c>
      <c r="B102">
        <v>4177</v>
      </c>
      <c r="D102">
        <v>15</v>
      </c>
      <c r="E102">
        <v>3</v>
      </c>
      <c r="G102">
        <v>16335</v>
      </c>
      <c r="I102" t="s">
        <v>182</v>
      </c>
      <c r="L102" t="s">
        <v>426</v>
      </c>
      <c r="M102">
        <v>9.09</v>
      </c>
      <c r="N102">
        <v>38.799999999999997</v>
      </c>
      <c r="O102">
        <v>8.52</v>
      </c>
      <c r="P102" s="3">
        <f t="shared" si="6"/>
        <v>0.93729372937293731</v>
      </c>
      <c r="Q102">
        <v>31.7</v>
      </c>
      <c r="R102" s="3">
        <f t="shared" si="7"/>
        <v>0.81701030927835061</v>
      </c>
      <c r="S102">
        <v>270</v>
      </c>
      <c r="T102">
        <v>9.2100000000000009</v>
      </c>
      <c r="U102">
        <v>37.9</v>
      </c>
      <c r="V102">
        <v>8.7509999999999994</v>
      </c>
      <c r="W102" s="3">
        <f t="shared" si="8"/>
        <v>0.9501628664495112</v>
      </c>
      <c r="X102">
        <v>30.59</v>
      </c>
      <c r="Y102" s="3">
        <f t="shared" si="9"/>
        <v>0.80712401055408978</v>
      </c>
      <c r="Z102">
        <v>267.7</v>
      </c>
      <c r="AA102">
        <v>76.7</v>
      </c>
      <c r="AB102">
        <v>25</v>
      </c>
      <c r="AC102" t="s">
        <v>64</v>
      </c>
      <c r="AE102" t="s">
        <v>65</v>
      </c>
      <c r="AF102" t="s">
        <v>66</v>
      </c>
      <c r="AG102" t="s">
        <v>427</v>
      </c>
      <c r="AH102" s="1">
        <v>0.40660879629629632</v>
      </c>
      <c r="AI102" t="s">
        <v>68</v>
      </c>
      <c r="AJ102" t="s">
        <v>69</v>
      </c>
      <c r="AO102">
        <v>7.3680000000000003</v>
      </c>
      <c r="AP102">
        <v>39.590000000000003</v>
      </c>
      <c r="AQ102">
        <v>38.4</v>
      </c>
      <c r="AR102">
        <v>1.84</v>
      </c>
      <c r="AS102">
        <v>35.387</v>
      </c>
      <c r="AT102">
        <v>204.6</v>
      </c>
      <c r="AY102">
        <v>2.36</v>
      </c>
      <c r="AZ102" t="s">
        <v>428</v>
      </c>
      <c r="BB102" t="s">
        <v>428</v>
      </c>
      <c r="BD102" t="s">
        <v>68</v>
      </c>
      <c r="BE102" t="s">
        <v>492</v>
      </c>
      <c r="BF102" t="s">
        <v>493</v>
      </c>
      <c r="BG102" t="s">
        <v>494</v>
      </c>
      <c r="BH102">
        <v>0</v>
      </c>
      <c r="BI102">
        <v>0</v>
      </c>
      <c r="BJ102">
        <v>2</v>
      </c>
      <c r="BK102" t="s">
        <v>495</v>
      </c>
      <c r="BL102">
        <v>8.8620000000000001</v>
      </c>
      <c r="BM102">
        <v>8.8620000000000001</v>
      </c>
      <c r="BN102" t="s">
        <v>425</v>
      </c>
      <c r="BO102" s="1">
        <v>0.67116898148148152</v>
      </c>
      <c r="BP102" s="3">
        <f t="shared" si="10"/>
        <v>1.0137301004725419</v>
      </c>
      <c r="BQ102" s="3">
        <f t="shared" si="11"/>
        <v>0.98789941985800256</v>
      </c>
    </row>
    <row r="103" spans="1:69" hidden="1" x14ac:dyDescent="0.35">
      <c r="A103">
        <v>101</v>
      </c>
      <c r="B103">
        <v>3555</v>
      </c>
      <c r="D103">
        <v>15</v>
      </c>
      <c r="E103">
        <v>1</v>
      </c>
      <c r="G103">
        <v>16344.9</v>
      </c>
      <c r="I103" t="s">
        <v>182</v>
      </c>
      <c r="L103" t="s">
        <v>496</v>
      </c>
      <c r="M103">
        <v>8.98</v>
      </c>
      <c r="N103">
        <v>38.1</v>
      </c>
      <c r="O103">
        <v>8.3699999999999992</v>
      </c>
      <c r="P103" s="3">
        <f t="shared" si="6"/>
        <v>0.93207126948775043</v>
      </c>
      <c r="Q103">
        <v>31.1</v>
      </c>
      <c r="R103" s="3">
        <f t="shared" si="7"/>
        <v>0.81627296587926512</v>
      </c>
      <c r="S103">
        <v>260</v>
      </c>
      <c r="T103">
        <v>8.9109999999999996</v>
      </c>
      <c r="U103">
        <v>37.090000000000003</v>
      </c>
      <c r="V103">
        <v>8.3800000000000008</v>
      </c>
      <c r="W103" s="3">
        <f t="shared" si="8"/>
        <v>0.94041072831332073</v>
      </c>
      <c r="X103">
        <v>30.04</v>
      </c>
      <c r="Y103" s="3">
        <f t="shared" si="9"/>
        <v>0.80992181180911282</v>
      </c>
      <c r="Z103">
        <v>251.7</v>
      </c>
      <c r="AA103">
        <v>76.2</v>
      </c>
      <c r="AB103">
        <v>24.9</v>
      </c>
      <c r="AC103" t="s">
        <v>64</v>
      </c>
      <c r="AE103" t="s">
        <v>65</v>
      </c>
      <c r="AF103" t="s">
        <v>66</v>
      </c>
      <c r="AG103" s="2">
        <v>44471</v>
      </c>
      <c r="AH103" s="1">
        <v>0.47711805555555553</v>
      </c>
      <c r="AI103" t="s">
        <v>68</v>
      </c>
      <c r="AJ103" t="s">
        <v>69</v>
      </c>
      <c r="AO103">
        <v>7</v>
      </c>
      <c r="AP103">
        <v>38.4</v>
      </c>
      <c r="AQ103">
        <v>76.8</v>
      </c>
      <c r="AR103">
        <v>1.6</v>
      </c>
      <c r="AS103">
        <v>334.9</v>
      </c>
      <c r="AT103">
        <v>307.2</v>
      </c>
      <c r="AY103">
        <v>2.36</v>
      </c>
      <c r="AZ103" t="s">
        <v>497</v>
      </c>
      <c r="BB103" t="s">
        <v>497</v>
      </c>
      <c r="BD103" t="s">
        <v>68</v>
      </c>
      <c r="BE103" t="s">
        <v>498</v>
      </c>
      <c r="BF103" t="s">
        <v>499</v>
      </c>
      <c r="BG103" t="s">
        <v>500</v>
      </c>
      <c r="BH103">
        <v>0</v>
      </c>
      <c r="BI103">
        <v>1</v>
      </c>
      <c r="BJ103">
        <v>3</v>
      </c>
      <c r="BK103" t="s">
        <v>501</v>
      </c>
      <c r="BL103">
        <v>8.8620000000000001</v>
      </c>
      <c r="BN103" t="s">
        <v>502</v>
      </c>
      <c r="BO103" s="1">
        <v>0.59689814814814812</v>
      </c>
      <c r="BP103" s="3">
        <f t="shared" si="10"/>
        <v>1.0089472330052116</v>
      </c>
      <c r="BQ103" s="3">
        <f t="shared" si="11"/>
        <v>0.9922193257211317</v>
      </c>
    </row>
    <row r="104" spans="1:69" hidden="1" x14ac:dyDescent="0.35">
      <c r="A104">
        <v>102</v>
      </c>
      <c r="B104">
        <v>3555</v>
      </c>
      <c r="D104">
        <v>15</v>
      </c>
      <c r="E104">
        <v>1</v>
      </c>
      <c r="G104">
        <v>16344.9</v>
      </c>
      <c r="I104" t="s">
        <v>182</v>
      </c>
      <c r="L104" t="s">
        <v>503</v>
      </c>
      <c r="M104">
        <v>8.98</v>
      </c>
      <c r="N104">
        <v>38.1</v>
      </c>
      <c r="O104">
        <v>8.3699999999999992</v>
      </c>
      <c r="P104" s="3">
        <f t="shared" si="6"/>
        <v>0.93207126948775043</v>
      </c>
      <c r="Q104">
        <v>31.1</v>
      </c>
      <c r="R104" s="3">
        <f t="shared" si="7"/>
        <v>0.81627296587926512</v>
      </c>
      <c r="S104">
        <v>260</v>
      </c>
      <c r="T104">
        <v>8.7490000000000006</v>
      </c>
      <c r="U104">
        <v>37.29</v>
      </c>
      <c r="V104">
        <v>8.2230000000000008</v>
      </c>
      <c r="W104" s="3">
        <f t="shared" si="8"/>
        <v>0.93987884329637672</v>
      </c>
      <c r="X104">
        <v>30.53</v>
      </c>
      <c r="Y104" s="3">
        <f t="shared" si="9"/>
        <v>0.81871815500134093</v>
      </c>
      <c r="Z104">
        <v>251</v>
      </c>
      <c r="AA104">
        <v>76.900000000000006</v>
      </c>
      <c r="AB104">
        <v>24.9</v>
      </c>
      <c r="AC104" t="s">
        <v>64</v>
      </c>
      <c r="AE104" t="s">
        <v>65</v>
      </c>
      <c r="AF104" t="s">
        <v>66</v>
      </c>
      <c r="AG104" t="s">
        <v>504</v>
      </c>
      <c r="AH104" s="1">
        <v>0.57686342592592588</v>
      </c>
      <c r="AI104" t="s">
        <v>68</v>
      </c>
      <c r="AJ104" t="s">
        <v>69</v>
      </c>
      <c r="AO104">
        <v>7.1289999999999996</v>
      </c>
      <c r="AP104">
        <v>37.637999999999998</v>
      </c>
      <c r="AQ104">
        <v>76.8</v>
      </c>
      <c r="AY104">
        <v>2.36</v>
      </c>
      <c r="AZ104" t="s">
        <v>504</v>
      </c>
      <c r="BD104" t="s">
        <v>68</v>
      </c>
      <c r="BE104" t="s">
        <v>505</v>
      </c>
      <c r="BG104" t="s">
        <v>506</v>
      </c>
      <c r="BH104">
        <v>0</v>
      </c>
      <c r="BI104">
        <v>2</v>
      </c>
      <c r="BJ104">
        <v>3</v>
      </c>
      <c r="BK104" t="s">
        <v>507</v>
      </c>
      <c r="BL104">
        <v>8.7140000000000004</v>
      </c>
      <c r="BN104" t="s">
        <v>502</v>
      </c>
      <c r="BO104" s="1">
        <v>0.59689814814814812</v>
      </c>
      <c r="BP104" s="3">
        <f t="shared" si="10"/>
        <v>1.0083765845640937</v>
      </c>
      <c r="BQ104" s="3">
        <f t="shared" si="11"/>
        <v>1.002995553233154</v>
      </c>
    </row>
    <row r="105" spans="1:69" hidden="1" x14ac:dyDescent="0.35">
      <c r="A105">
        <v>103</v>
      </c>
      <c r="B105">
        <v>3555</v>
      </c>
      <c r="D105">
        <v>15</v>
      </c>
      <c r="E105">
        <v>1</v>
      </c>
      <c r="G105">
        <v>16351.5</v>
      </c>
      <c r="I105" t="s">
        <v>182</v>
      </c>
      <c r="L105" t="s">
        <v>508</v>
      </c>
      <c r="M105">
        <v>8.98</v>
      </c>
      <c r="N105">
        <v>38.1</v>
      </c>
      <c r="O105">
        <v>8.3699999999999992</v>
      </c>
      <c r="P105" s="3">
        <f t="shared" si="6"/>
        <v>0.93207126948775043</v>
      </c>
      <c r="Q105">
        <v>31.1</v>
      </c>
      <c r="R105" s="3">
        <f t="shared" si="7"/>
        <v>0.81627296587926512</v>
      </c>
      <c r="S105">
        <v>260</v>
      </c>
      <c r="T105">
        <v>8.9049999999999994</v>
      </c>
      <c r="U105">
        <v>37.130000000000003</v>
      </c>
      <c r="V105">
        <v>8.3659999999999997</v>
      </c>
      <c r="W105" s="3">
        <f t="shared" si="8"/>
        <v>0.93947220662549136</v>
      </c>
      <c r="X105">
        <v>30.28</v>
      </c>
      <c r="Y105" s="3">
        <f t="shared" si="9"/>
        <v>0.81551306221384323</v>
      </c>
      <c r="Z105">
        <v>253.4</v>
      </c>
      <c r="AA105">
        <v>76.599999999999994</v>
      </c>
      <c r="AB105">
        <v>24.8</v>
      </c>
      <c r="AC105" t="s">
        <v>64</v>
      </c>
      <c r="AE105" t="s">
        <v>65</v>
      </c>
      <c r="AF105" t="s">
        <v>66</v>
      </c>
      <c r="AG105" t="s">
        <v>509</v>
      </c>
      <c r="AH105" s="1">
        <v>0.58332175925925922</v>
      </c>
      <c r="AI105" t="s">
        <v>68</v>
      </c>
      <c r="AJ105" t="s">
        <v>69</v>
      </c>
      <c r="AO105">
        <v>7.0090000000000003</v>
      </c>
      <c r="AP105">
        <v>38.125999999999998</v>
      </c>
      <c r="AQ105">
        <v>76.8</v>
      </c>
      <c r="AR105">
        <v>1.605</v>
      </c>
      <c r="AS105">
        <v>33.884999999999998</v>
      </c>
      <c r="AT105">
        <v>307.2</v>
      </c>
      <c r="AY105">
        <v>2.36</v>
      </c>
      <c r="AZ105" t="s">
        <v>510</v>
      </c>
      <c r="BB105" t="s">
        <v>510</v>
      </c>
      <c r="BD105" t="s">
        <v>68</v>
      </c>
      <c r="BE105" t="s">
        <v>511</v>
      </c>
      <c r="BF105" t="s">
        <v>512</v>
      </c>
      <c r="BG105" t="s">
        <v>513</v>
      </c>
      <c r="BH105">
        <v>0</v>
      </c>
      <c r="BI105">
        <v>0</v>
      </c>
      <c r="BJ105">
        <v>3</v>
      </c>
      <c r="BK105" t="s">
        <v>514</v>
      </c>
      <c r="BL105">
        <v>8.8620000000000001</v>
      </c>
      <c r="BN105" t="s">
        <v>502</v>
      </c>
      <c r="BO105" s="1">
        <v>0.59689814814814812</v>
      </c>
      <c r="BP105" s="3">
        <f t="shared" si="10"/>
        <v>1.0079403124846971</v>
      </c>
      <c r="BQ105" s="3">
        <f t="shared" si="11"/>
        <v>0.99906905692435455</v>
      </c>
    </row>
    <row r="106" spans="1:69" hidden="1" x14ac:dyDescent="0.35">
      <c r="A106">
        <v>104</v>
      </c>
      <c r="B106">
        <v>3538</v>
      </c>
      <c r="D106">
        <v>15</v>
      </c>
      <c r="E106">
        <v>1</v>
      </c>
      <c r="G106">
        <v>16344.9</v>
      </c>
      <c r="I106" t="s">
        <v>182</v>
      </c>
      <c r="L106" t="s">
        <v>496</v>
      </c>
      <c r="M106">
        <v>8.98</v>
      </c>
      <c r="N106">
        <v>38.1</v>
      </c>
      <c r="O106">
        <v>8.3699999999999992</v>
      </c>
      <c r="P106" s="3">
        <f t="shared" si="6"/>
        <v>0.93207126948775043</v>
      </c>
      <c r="Q106">
        <v>31.1</v>
      </c>
      <c r="R106" s="3">
        <f t="shared" si="7"/>
        <v>0.81627296587926512</v>
      </c>
      <c r="S106">
        <v>260</v>
      </c>
      <c r="T106">
        <v>9.0429999999999993</v>
      </c>
      <c r="U106">
        <v>37.4</v>
      </c>
      <c r="V106">
        <v>8.5670000000000002</v>
      </c>
      <c r="W106" s="3">
        <f t="shared" si="8"/>
        <v>0.94736260090677882</v>
      </c>
      <c r="X106">
        <v>30.29</v>
      </c>
      <c r="Y106" s="3">
        <f t="shared" si="9"/>
        <v>0.80989304812834229</v>
      </c>
      <c r="Z106">
        <v>259.5</v>
      </c>
      <c r="AA106">
        <v>76.7</v>
      </c>
      <c r="AB106">
        <v>24.6</v>
      </c>
      <c r="AC106" t="s">
        <v>64</v>
      </c>
      <c r="AE106" t="s">
        <v>65</v>
      </c>
      <c r="AF106" t="s">
        <v>66</v>
      </c>
      <c r="AG106" s="2">
        <v>44471</v>
      </c>
      <c r="AH106" s="1">
        <v>0.47991898148148149</v>
      </c>
      <c r="AI106" t="s">
        <v>68</v>
      </c>
      <c r="AJ106" t="s">
        <v>69</v>
      </c>
      <c r="AO106">
        <v>7.2</v>
      </c>
      <c r="AP106">
        <v>38.5</v>
      </c>
      <c r="AQ106">
        <v>76.8</v>
      </c>
      <c r="AR106">
        <v>1.9</v>
      </c>
      <c r="AS106">
        <v>35.1</v>
      </c>
      <c r="AT106">
        <v>307.2</v>
      </c>
      <c r="AY106">
        <v>2.36</v>
      </c>
      <c r="AZ106" t="s">
        <v>497</v>
      </c>
      <c r="BB106" t="s">
        <v>497</v>
      </c>
      <c r="BD106" t="s">
        <v>68</v>
      </c>
      <c r="BE106" t="s">
        <v>515</v>
      </c>
      <c r="BF106" t="s">
        <v>516</v>
      </c>
      <c r="BG106" t="s">
        <v>517</v>
      </c>
      <c r="BH106">
        <v>0</v>
      </c>
      <c r="BI106">
        <v>1</v>
      </c>
      <c r="BJ106">
        <v>2</v>
      </c>
      <c r="BK106" t="s">
        <v>518</v>
      </c>
      <c r="BL106">
        <v>8.8620000000000001</v>
      </c>
      <c r="BN106" t="s">
        <v>502</v>
      </c>
      <c r="BO106" s="1">
        <v>0.66686342592592596</v>
      </c>
      <c r="BP106" s="3">
        <f t="shared" si="10"/>
        <v>1.0164057534220878</v>
      </c>
      <c r="BQ106" s="3">
        <f t="shared" si="11"/>
        <v>0.9921840878999949</v>
      </c>
    </row>
    <row r="107" spans="1:69" hidden="1" x14ac:dyDescent="0.35">
      <c r="A107">
        <v>105</v>
      </c>
      <c r="B107">
        <v>3538</v>
      </c>
      <c r="D107">
        <v>15</v>
      </c>
      <c r="E107">
        <v>1</v>
      </c>
      <c r="G107">
        <v>16351.5</v>
      </c>
      <c r="I107" t="s">
        <v>182</v>
      </c>
      <c r="L107" t="s">
        <v>508</v>
      </c>
      <c r="M107">
        <v>8.98</v>
      </c>
      <c r="N107">
        <v>38.1</v>
      </c>
      <c r="O107">
        <v>8.3699999999999992</v>
      </c>
      <c r="P107" s="3">
        <f t="shared" si="6"/>
        <v>0.93207126948775043</v>
      </c>
      <c r="Q107">
        <v>31.1</v>
      </c>
      <c r="R107" s="3">
        <f t="shared" si="7"/>
        <v>0.81627296587926512</v>
      </c>
      <c r="S107">
        <v>260</v>
      </c>
      <c r="T107">
        <v>9.0530000000000008</v>
      </c>
      <c r="U107">
        <v>37.5</v>
      </c>
      <c r="V107">
        <v>8.5809999999999995</v>
      </c>
      <c r="W107" s="3">
        <f t="shared" si="8"/>
        <v>0.94786258698773873</v>
      </c>
      <c r="X107">
        <v>30.57</v>
      </c>
      <c r="Y107" s="3">
        <f t="shared" si="9"/>
        <v>0.81520000000000004</v>
      </c>
      <c r="Z107">
        <v>262.3</v>
      </c>
      <c r="AA107">
        <v>77.3</v>
      </c>
      <c r="AB107">
        <v>24.8</v>
      </c>
      <c r="AC107" t="s">
        <v>64</v>
      </c>
      <c r="AE107" t="s">
        <v>65</v>
      </c>
      <c r="AF107" t="s">
        <v>66</v>
      </c>
      <c r="AG107" t="s">
        <v>509</v>
      </c>
      <c r="AH107" s="1">
        <v>0.58480324074074075</v>
      </c>
      <c r="AI107" t="s">
        <v>68</v>
      </c>
      <c r="AJ107" t="s">
        <v>69</v>
      </c>
      <c r="AO107">
        <v>7.0090000000000003</v>
      </c>
      <c r="AP107">
        <v>39.539000000000001</v>
      </c>
      <c r="AQ107">
        <v>76.8</v>
      </c>
      <c r="AR107">
        <v>1.605</v>
      </c>
      <c r="AS107">
        <v>34.411000000000001</v>
      </c>
      <c r="AT107">
        <v>307.2</v>
      </c>
      <c r="AY107">
        <v>2.36</v>
      </c>
      <c r="AZ107" t="s">
        <v>510</v>
      </c>
      <c r="BB107" t="s">
        <v>510</v>
      </c>
      <c r="BD107" t="s">
        <v>68</v>
      </c>
      <c r="BE107" t="s">
        <v>519</v>
      </c>
      <c r="BF107" t="s">
        <v>520</v>
      </c>
      <c r="BG107" t="s">
        <v>521</v>
      </c>
      <c r="BH107">
        <v>0</v>
      </c>
      <c r="BI107">
        <v>0</v>
      </c>
      <c r="BJ107">
        <v>2</v>
      </c>
      <c r="BK107" t="s">
        <v>522</v>
      </c>
      <c r="BL107">
        <v>8.8620000000000001</v>
      </c>
      <c r="BN107" t="s">
        <v>502</v>
      </c>
      <c r="BO107" s="1">
        <v>0.66686342592592596</v>
      </c>
      <c r="BP107" s="3">
        <f t="shared" si="10"/>
        <v>1.0169421781541093</v>
      </c>
      <c r="BQ107" s="3">
        <f t="shared" si="11"/>
        <v>0.99868553054662379</v>
      </c>
    </row>
    <row r="108" spans="1:69" hidden="1" x14ac:dyDescent="0.35">
      <c r="A108">
        <v>106</v>
      </c>
      <c r="B108">
        <v>3545</v>
      </c>
      <c r="D108">
        <v>15</v>
      </c>
      <c r="E108">
        <v>1</v>
      </c>
      <c r="G108">
        <v>16344.9</v>
      </c>
      <c r="I108" t="s">
        <v>182</v>
      </c>
      <c r="L108" t="s">
        <v>496</v>
      </c>
      <c r="M108">
        <v>8.98</v>
      </c>
      <c r="N108">
        <v>38.1</v>
      </c>
      <c r="O108">
        <v>8.3699999999999992</v>
      </c>
      <c r="P108" s="3">
        <f t="shared" si="6"/>
        <v>0.93207126948775043</v>
      </c>
      <c r="Q108">
        <v>31.1</v>
      </c>
      <c r="R108" s="3">
        <f t="shared" si="7"/>
        <v>0.81627296587926512</v>
      </c>
      <c r="S108">
        <v>260</v>
      </c>
      <c r="T108">
        <v>9.0020000000000007</v>
      </c>
      <c r="U108">
        <v>37.409999999999997</v>
      </c>
      <c r="V108">
        <v>8.5190000000000001</v>
      </c>
      <c r="W108" s="3">
        <f t="shared" si="8"/>
        <v>0.94634525660964219</v>
      </c>
      <c r="X108">
        <v>30.27</v>
      </c>
      <c r="Y108" s="3">
        <f t="shared" si="9"/>
        <v>0.80914194065757827</v>
      </c>
      <c r="Z108">
        <v>257.89999999999998</v>
      </c>
      <c r="AA108">
        <v>76.599999999999994</v>
      </c>
      <c r="AB108">
        <v>24.7</v>
      </c>
      <c r="AC108" t="s">
        <v>64</v>
      </c>
      <c r="AE108" t="s">
        <v>65</v>
      </c>
      <c r="AF108" t="s">
        <v>66</v>
      </c>
      <c r="AG108" s="2">
        <v>44471</v>
      </c>
      <c r="AH108" s="1">
        <v>0.47773148148148148</v>
      </c>
      <c r="AI108" t="s">
        <v>68</v>
      </c>
      <c r="AJ108" t="s">
        <v>69</v>
      </c>
      <c r="AO108">
        <v>7</v>
      </c>
      <c r="AP108">
        <v>38.5</v>
      </c>
      <c r="AQ108">
        <v>76.8</v>
      </c>
      <c r="AR108">
        <v>1.6</v>
      </c>
      <c r="AS108">
        <v>334.9</v>
      </c>
      <c r="AT108">
        <v>307.2</v>
      </c>
      <c r="AY108">
        <v>2.36</v>
      </c>
      <c r="AZ108" t="s">
        <v>497</v>
      </c>
      <c r="BB108" t="s">
        <v>497</v>
      </c>
      <c r="BD108" t="s">
        <v>68</v>
      </c>
      <c r="BE108" t="s">
        <v>523</v>
      </c>
      <c r="BF108" t="s">
        <v>524</v>
      </c>
      <c r="BG108" t="s">
        <v>525</v>
      </c>
      <c r="BH108">
        <v>0</v>
      </c>
      <c r="BI108">
        <v>1</v>
      </c>
      <c r="BJ108">
        <v>2</v>
      </c>
      <c r="BK108" t="s">
        <v>526</v>
      </c>
      <c r="BL108">
        <v>8.8620000000000001</v>
      </c>
      <c r="BN108" t="s">
        <v>502</v>
      </c>
      <c r="BO108" s="1">
        <v>0.64249999999999996</v>
      </c>
      <c r="BP108" s="3">
        <f t="shared" si="10"/>
        <v>1.0153142657532364</v>
      </c>
      <c r="BQ108" s="3">
        <f t="shared" si="11"/>
        <v>0.9912639208698949</v>
      </c>
    </row>
    <row r="109" spans="1:69" hidden="1" x14ac:dyDescent="0.35">
      <c r="A109">
        <v>107</v>
      </c>
      <c r="B109">
        <v>3545</v>
      </c>
      <c r="D109">
        <v>15</v>
      </c>
      <c r="E109">
        <v>1</v>
      </c>
      <c r="G109">
        <v>16351.5</v>
      </c>
      <c r="I109" t="s">
        <v>182</v>
      </c>
      <c r="L109" t="s">
        <v>508</v>
      </c>
      <c r="M109">
        <v>8.98</v>
      </c>
      <c r="N109">
        <v>38.1</v>
      </c>
      <c r="O109">
        <v>8.3699999999999992</v>
      </c>
      <c r="P109" s="3">
        <f t="shared" si="6"/>
        <v>0.93207126948775043</v>
      </c>
      <c r="Q109">
        <v>31.1</v>
      </c>
      <c r="R109" s="3">
        <f t="shared" si="7"/>
        <v>0.81627296587926512</v>
      </c>
      <c r="S109">
        <v>260</v>
      </c>
      <c r="T109">
        <v>9.0660000000000007</v>
      </c>
      <c r="U109">
        <v>37.56</v>
      </c>
      <c r="V109">
        <v>8.5549999999999997</v>
      </c>
      <c r="W109" s="3">
        <f t="shared" si="8"/>
        <v>0.94363556143834093</v>
      </c>
      <c r="X109">
        <v>30.66</v>
      </c>
      <c r="Y109" s="3">
        <f t="shared" si="9"/>
        <v>0.81629392971246006</v>
      </c>
      <c r="Z109">
        <v>262.3</v>
      </c>
      <c r="AA109">
        <v>77</v>
      </c>
      <c r="AB109">
        <v>24.7</v>
      </c>
      <c r="AC109" t="s">
        <v>64</v>
      </c>
      <c r="AE109" t="s">
        <v>65</v>
      </c>
      <c r="AF109" t="s">
        <v>66</v>
      </c>
      <c r="AG109" t="s">
        <v>509</v>
      </c>
      <c r="AH109" s="1">
        <v>0.58103009259259264</v>
      </c>
      <c r="AI109" t="s">
        <v>68</v>
      </c>
      <c r="AJ109" t="s">
        <v>69</v>
      </c>
      <c r="AO109">
        <v>7.0090000000000003</v>
      </c>
      <c r="AP109">
        <v>38.652000000000001</v>
      </c>
      <c r="AQ109">
        <v>76.8</v>
      </c>
      <c r="AR109">
        <v>1.605</v>
      </c>
      <c r="AS109">
        <v>34.448</v>
      </c>
      <c r="AT109">
        <v>307.2</v>
      </c>
      <c r="AY109">
        <v>2.36</v>
      </c>
      <c r="AZ109" t="s">
        <v>510</v>
      </c>
      <c r="BB109" t="s">
        <v>510</v>
      </c>
      <c r="BD109" t="s">
        <v>68</v>
      </c>
      <c r="BE109" t="s">
        <v>527</v>
      </c>
      <c r="BF109" t="s">
        <v>528</v>
      </c>
      <c r="BG109" t="s">
        <v>529</v>
      </c>
      <c r="BH109">
        <v>0</v>
      </c>
      <c r="BI109">
        <v>0</v>
      </c>
      <c r="BJ109">
        <v>2</v>
      </c>
      <c r="BK109" t="s">
        <v>530</v>
      </c>
      <c r="BL109">
        <v>8.8620000000000001</v>
      </c>
      <c r="BN109" t="s">
        <v>502</v>
      </c>
      <c r="BO109" s="1">
        <v>0.64249999999999996</v>
      </c>
      <c r="BP109" s="3">
        <f t="shared" si="10"/>
        <v>1.0124070898107889</v>
      </c>
      <c r="BQ109" s="3">
        <f t="shared" si="11"/>
        <v>1.0000256823808593</v>
      </c>
    </row>
    <row r="110" spans="1:69" hidden="1" x14ac:dyDescent="0.35">
      <c r="A110">
        <v>108</v>
      </c>
      <c r="B110">
        <v>3536</v>
      </c>
      <c r="D110">
        <v>15</v>
      </c>
      <c r="E110">
        <v>1</v>
      </c>
      <c r="G110">
        <v>16344.9</v>
      </c>
      <c r="I110" t="s">
        <v>182</v>
      </c>
      <c r="L110" t="s">
        <v>496</v>
      </c>
      <c r="M110">
        <v>8.98</v>
      </c>
      <c r="N110">
        <v>38.1</v>
      </c>
      <c r="O110">
        <v>8.3699999999999992</v>
      </c>
      <c r="P110" s="3">
        <f t="shared" si="6"/>
        <v>0.93207126948775043</v>
      </c>
      <c r="Q110">
        <v>31.1</v>
      </c>
      <c r="R110" s="3">
        <f t="shared" si="7"/>
        <v>0.81627296587926512</v>
      </c>
      <c r="S110">
        <v>260</v>
      </c>
      <c r="T110">
        <v>8.8580000000000005</v>
      </c>
      <c r="U110">
        <v>37.04</v>
      </c>
      <c r="V110">
        <v>8.3840000000000003</v>
      </c>
      <c r="W110" s="3">
        <f t="shared" si="8"/>
        <v>0.94648904944682766</v>
      </c>
      <c r="X110">
        <v>29.94</v>
      </c>
      <c r="Y110" s="3">
        <f t="shared" si="9"/>
        <v>0.80831533477321815</v>
      </c>
      <c r="Z110">
        <v>251</v>
      </c>
      <c r="AA110">
        <v>76.5</v>
      </c>
      <c r="AB110">
        <v>25</v>
      </c>
      <c r="AC110" t="s">
        <v>64</v>
      </c>
      <c r="AE110" t="s">
        <v>65</v>
      </c>
      <c r="AF110" t="s">
        <v>66</v>
      </c>
      <c r="AG110" s="2">
        <v>44471</v>
      </c>
      <c r="AH110" s="1">
        <v>0.46837962962962965</v>
      </c>
      <c r="AI110" t="s">
        <v>68</v>
      </c>
      <c r="AJ110" t="s">
        <v>69</v>
      </c>
      <c r="AO110">
        <v>7</v>
      </c>
      <c r="AP110">
        <v>38.1</v>
      </c>
      <c r="AQ110">
        <v>76.8</v>
      </c>
      <c r="AR110">
        <v>1.6</v>
      </c>
      <c r="AS110">
        <v>35.1</v>
      </c>
      <c r="AT110">
        <v>307.2</v>
      </c>
      <c r="AY110">
        <v>2.36</v>
      </c>
      <c r="AZ110" t="s">
        <v>497</v>
      </c>
      <c r="BB110" t="s">
        <v>497</v>
      </c>
      <c r="BD110" t="s">
        <v>68</v>
      </c>
      <c r="BE110" t="s">
        <v>531</v>
      </c>
      <c r="BF110" t="s">
        <v>532</v>
      </c>
      <c r="BG110" t="s">
        <v>533</v>
      </c>
      <c r="BH110">
        <v>0</v>
      </c>
      <c r="BI110">
        <v>0</v>
      </c>
      <c r="BJ110">
        <v>1</v>
      </c>
      <c r="BK110" t="s">
        <v>534</v>
      </c>
      <c r="BL110">
        <v>8.8620000000000001</v>
      </c>
      <c r="BN110" t="s">
        <v>502</v>
      </c>
      <c r="BO110" s="1">
        <v>0.69383101851851847</v>
      </c>
      <c r="BP110" s="3">
        <f t="shared" si="10"/>
        <v>1.0154685381161903</v>
      </c>
      <c r="BQ110" s="3">
        <f t="shared" si="11"/>
        <v>0.9902512622141354</v>
      </c>
    </row>
    <row r="111" spans="1:69" hidden="1" x14ac:dyDescent="0.35">
      <c r="A111">
        <v>109</v>
      </c>
      <c r="B111">
        <v>3534</v>
      </c>
      <c r="D111">
        <v>15</v>
      </c>
      <c r="E111">
        <v>1</v>
      </c>
      <c r="G111">
        <v>16344.9</v>
      </c>
      <c r="I111" t="s">
        <v>182</v>
      </c>
      <c r="L111" t="s">
        <v>496</v>
      </c>
      <c r="M111">
        <v>8.98</v>
      </c>
      <c r="N111">
        <v>38.1</v>
      </c>
      <c r="O111">
        <v>8.3699999999999992</v>
      </c>
      <c r="P111" s="3">
        <f t="shared" si="6"/>
        <v>0.93207126948775043</v>
      </c>
      <c r="Q111">
        <v>31.1</v>
      </c>
      <c r="R111" s="3">
        <f t="shared" si="7"/>
        <v>0.81627296587926512</v>
      </c>
      <c r="S111">
        <v>260</v>
      </c>
      <c r="T111">
        <v>8.9640000000000004</v>
      </c>
      <c r="U111">
        <v>37.299999999999997</v>
      </c>
      <c r="V111">
        <v>8.4719999999999995</v>
      </c>
      <c r="W111" s="3">
        <f t="shared" si="8"/>
        <v>0.94511378848728234</v>
      </c>
      <c r="X111">
        <v>30.15</v>
      </c>
      <c r="Y111" s="3">
        <f t="shared" si="9"/>
        <v>0.80831099195710454</v>
      </c>
      <c r="Z111">
        <v>255.5</v>
      </c>
      <c r="AA111">
        <v>76.400000000000006</v>
      </c>
      <c r="AB111">
        <v>24.6</v>
      </c>
      <c r="AC111" t="s">
        <v>64</v>
      </c>
      <c r="AE111" t="s">
        <v>65</v>
      </c>
      <c r="AF111" t="s">
        <v>66</v>
      </c>
      <c r="AG111" s="2">
        <v>44471</v>
      </c>
      <c r="AH111" s="1">
        <v>0.47901620370370368</v>
      </c>
      <c r="AI111" t="s">
        <v>68</v>
      </c>
      <c r="AJ111" t="s">
        <v>69</v>
      </c>
      <c r="AO111">
        <v>7</v>
      </c>
      <c r="AP111">
        <v>38.4</v>
      </c>
      <c r="AQ111">
        <v>76.8</v>
      </c>
      <c r="AR111">
        <v>1.6</v>
      </c>
      <c r="AS111">
        <v>35.200000000000003</v>
      </c>
      <c r="AT111">
        <v>307.2</v>
      </c>
      <c r="AY111">
        <v>2.36</v>
      </c>
      <c r="AZ111" t="s">
        <v>497</v>
      </c>
      <c r="BB111" t="s">
        <v>497</v>
      </c>
      <c r="BD111" t="s">
        <v>68</v>
      </c>
      <c r="BE111" t="s">
        <v>535</v>
      </c>
      <c r="BF111" t="s">
        <v>536</v>
      </c>
      <c r="BG111" t="s">
        <v>537</v>
      </c>
      <c r="BH111">
        <v>0</v>
      </c>
      <c r="BI111">
        <v>1</v>
      </c>
      <c r="BJ111">
        <v>2</v>
      </c>
      <c r="BK111" t="s">
        <v>538</v>
      </c>
      <c r="BL111">
        <v>8.8620000000000001</v>
      </c>
      <c r="BN111" t="s">
        <v>502</v>
      </c>
      <c r="BO111" s="1">
        <v>0.69057870370370367</v>
      </c>
      <c r="BP111" s="3">
        <f t="shared" si="10"/>
        <v>1.0139930490580402</v>
      </c>
      <c r="BQ111" s="3">
        <f t="shared" si="11"/>
        <v>0.99024594191529525</v>
      </c>
    </row>
    <row r="112" spans="1:69" hidden="1" x14ac:dyDescent="0.35">
      <c r="A112">
        <v>110</v>
      </c>
      <c r="B112">
        <v>3534</v>
      </c>
      <c r="D112">
        <v>15</v>
      </c>
      <c r="E112">
        <v>1</v>
      </c>
      <c r="G112">
        <v>16351.5</v>
      </c>
      <c r="I112" t="s">
        <v>182</v>
      </c>
      <c r="L112" t="s">
        <v>508</v>
      </c>
      <c r="M112">
        <v>8.98</v>
      </c>
      <c r="N112">
        <v>38.1</v>
      </c>
      <c r="O112">
        <v>8.3699999999999992</v>
      </c>
      <c r="P112" s="3">
        <f t="shared" si="6"/>
        <v>0.93207126948775043</v>
      </c>
      <c r="Q112">
        <v>31.1</v>
      </c>
      <c r="R112" s="3">
        <f t="shared" si="7"/>
        <v>0.81627296587926512</v>
      </c>
      <c r="S112">
        <v>260</v>
      </c>
      <c r="T112">
        <v>9.0280000000000005</v>
      </c>
      <c r="U112">
        <v>37.56</v>
      </c>
      <c r="V112">
        <v>8.5549999999999997</v>
      </c>
      <c r="W112" s="3">
        <f t="shared" si="8"/>
        <v>0.94760744350908277</v>
      </c>
      <c r="X112">
        <v>30.59</v>
      </c>
      <c r="Y112" s="3">
        <f t="shared" si="9"/>
        <v>0.81443024494142702</v>
      </c>
      <c r="Z112">
        <v>261.7</v>
      </c>
      <c r="AA112">
        <v>77.2</v>
      </c>
      <c r="AB112">
        <v>24.8</v>
      </c>
      <c r="AC112" t="s">
        <v>64</v>
      </c>
      <c r="AE112" t="s">
        <v>65</v>
      </c>
      <c r="AF112" t="s">
        <v>66</v>
      </c>
      <c r="AG112" t="s">
        <v>509</v>
      </c>
      <c r="AH112" s="1">
        <v>0.58659722222222221</v>
      </c>
      <c r="AI112" t="s">
        <v>68</v>
      </c>
      <c r="AJ112" t="s">
        <v>69</v>
      </c>
      <c r="AO112">
        <v>7.0090000000000003</v>
      </c>
      <c r="AP112">
        <v>38.689</v>
      </c>
      <c r="AQ112">
        <v>76.8</v>
      </c>
      <c r="AR112">
        <v>1.605</v>
      </c>
      <c r="AS112">
        <v>34.523000000000003</v>
      </c>
      <c r="AT112">
        <v>307.2</v>
      </c>
      <c r="AY112">
        <v>2.36</v>
      </c>
      <c r="AZ112" t="s">
        <v>510</v>
      </c>
      <c r="BB112" t="s">
        <v>510</v>
      </c>
      <c r="BD112" t="s">
        <v>68</v>
      </c>
      <c r="BE112" t="s">
        <v>539</v>
      </c>
      <c r="BF112" t="s">
        <v>540</v>
      </c>
      <c r="BG112" t="s">
        <v>541</v>
      </c>
      <c r="BH112">
        <v>0</v>
      </c>
      <c r="BI112">
        <v>0</v>
      </c>
      <c r="BJ112">
        <v>2</v>
      </c>
      <c r="BK112" t="s">
        <v>542</v>
      </c>
      <c r="BL112">
        <v>8.8620000000000001</v>
      </c>
      <c r="BN112" t="s">
        <v>502</v>
      </c>
      <c r="BO112" s="1">
        <v>0.69057870370370367</v>
      </c>
      <c r="BP112" s="3">
        <f t="shared" si="10"/>
        <v>1.0166684399894341</v>
      </c>
      <c r="BQ112" s="3">
        <f t="shared" si="11"/>
        <v>0.99774251872245556</v>
      </c>
    </row>
    <row r="113" spans="1:69" hidden="1" x14ac:dyDescent="0.35">
      <c r="A113">
        <v>111</v>
      </c>
      <c r="B113">
        <v>3298</v>
      </c>
      <c r="D113">
        <v>15</v>
      </c>
      <c r="E113">
        <v>2</v>
      </c>
      <c r="G113">
        <v>16351.5</v>
      </c>
      <c r="I113" t="s">
        <v>182</v>
      </c>
      <c r="L113" t="s">
        <v>508</v>
      </c>
      <c r="M113">
        <v>9.0299999999999994</v>
      </c>
      <c r="N113">
        <v>38.6</v>
      </c>
      <c r="O113">
        <v>8.44</v>
      </c>
      <c r="P113" s="3">
        <f t="shared" si="6"/>
        <v>0.93466223698781836</v>
      </c>
      <c r="Q113">
        <v>31.4</v>
      </c>
      <c r="R113" s="3">
        <f t="shared" si="7"/>
        <v>0.81347150259067347</v>
      </c>
      <c r="S113">
        <v>265</v>
      </c>
      <c r="T113">
        <v>9.1210000000000004</v>
      </c>
      <c r="U113">
        <v>37.76</v>
      </c>
      <c r="V113">
        <v>8.6370000000000005</v>
      </c>
      <c r="W113" s="3">
        <f t="shared" si="8"/>
        <v>0.94693564302159849</v>
      </c>
      <c r="X113">
        <v>30.24</v>
      </c>
      <c r="Y113" s="3">
        <f t="shared" si="9"/>
        <v>0.80084745762711862</v>
      </c>
      <c r="Z113">
        <v>261.2</v>
      </c>
      <c r="AA113">
        <v>75.8</v>
      </c>
      <c r="AB113">
        <v>25.1</v>
      </c>
      <c r="AC113" t="s">
        <v>64</v>
      </c>
      <c r="AE113" t="s">
        <v>65</v>
      </c>
      <c r="AF113" t="s">
        <v>66</v>
      </c>
      <c r="AG113" t="s">
        <v>509</v>
      </c>
      <c r="AH113" s="1">
        <v>0.55033564814814817</v>
      </c>
      <c r="AI113" t="s">
        <v>68</v>
      </c>
      <c r="AJ113" t="s">
        <v>69</v>
      </c>
      <c r="AO113">
        <v>7.0140000000000002</v>
      </c>
      <c r="AP113">
        <v>39.177</v>
      </c>
      <c r="AQ113">
        <v>76.8</v>
      </c>
      <c r="AR113">
        <v>1.605</v>
      </c>
      <c r="AS113">
        <v>34.673000000000002</v>
      </c>
      <c r="AT113">
        <v>307.2</v>
      </c>
      <c r="AY113">
        <v>2.36</v>
      </c>
      <c r="AZ113" t="s">
        <v>510</v>
      </c>
      <c r="BB113" t="s">
        <v>510</v>
      </c>
      <c r="BD113" t="s">
        <v>68</v>
      </c>
      <c r="BE113" t="s">
        <v>543</v>
      </c>
      <c r="BF113" t="s">
        <v>544</v>
      </c>
      <c r="BG113" t="s">
        <v>545</v>
      </c>
      <c r="BH113">
        <v>0</v>
      </c>
      <c r="BI113">
        <v>0</v>
      </c>
      <c r="BJ113">
        <v>1</v>
      </c>
      <c r="BK113" t="s">
        <v>546</v>
      </c>
      <c r="BL113">
        <v>8.8620000000000001</v>
      </c>
      <c r="BN113" t="s">
        <v>502</v>
      </c>
      <c r="BO113" s="1">
        <v>0.5118287037037037</v>
      </c>
      <c r="BP113" s="3">
        <f t="shared" si="10"/>
        <v>1.0131313811001226</v>
      </c>
      <c r="BQ113" s="3">
        <f t="shared" si="11"/>
        <v>0.98448126956709503</v>
      </c>
    </row>
    <row r="114" spans="1:69" hidden="1" x14ac:dyDescent="0.35">
      <c r="A114">
        <v>112</v>
      </c>
      <c r="B114">
        <v>3286</v>
      </c>
      <c r="D114">
        <v>15</v>
      </c>
      <c r="E114">
        <v>2</v>
      </c>
      <c r="G114">
        <v>16344.9</v>
      </c>
      <c r="I114" t="s">
        <v>182</v>
      </c>
      <c r="L114" t="s">
        <v>496</v>
      </c>
      <c r="M114">
        <v>9.0299999999999994</v>
      </c>
      <c r="N114">
        <v>38.6</v>
      </c>
      <c r="O114">
        <v>8.44</v>
      </c>
      <c r="P114" s="3">
        <f t="shared" si="6"/>
        <v>0.93466223698781836</v>
      </c>
      <c r="Q114">
        <v>31.4</v>
      </c>
      <c r="R114" s="3">
        <f t="shared" si="7"/>
        <v>0.81347150259067347</v>
      </c>
      <c r="S114">
        <v>265</v>
      </c>
      <c r="T114">
        <v>9.1479999999999997</v>
      </c>
      <c r="U114">
        <v>37.729999999999997</v>
      </c>
      <c r="V114">
        <v>8.6509999999999998</v>
      </c>
      <c r="W114" s="3">
        <f t="shared" si="8"/>
        <v>0.94567118495846092</v>
      </c>
      <c r="X114">
        <v>30.48</v>
      </c>
      <c r="Y114" s="3">
        <f t="shared" si="9"/>
        <v>0.80784521600848136</v>
      </c>
      <c r="Z114">
        <v>263.7</v>
      </c>
      <c r="AA114">
        <v>76.400000000000006</v>
      </c>
      <c r="AB114">
        <v>25.1</v>
      </c>
      <c r="AC114" t="s">
        <v>64</v>
      </c>
      <c r="AE114" t="s">
        <v>65</v>
      </c>
      <c r="AF114" t="s">
        <v>66</v>
      </c>
      <c r="AG114" s="2">
        <v>44471</v>
      </c>
      <c r="AH114" s="1">
        <v>0.4698148148148148</v>
      </c>
      <c r="AI114" t="s">
        <v>68</v>
      </c>
      <c r="AJ114" t="s">
        <v>69</v>
      </c>
      <c r="AO114">
        <v>7.2</v>
      </c>
      <c r="AP114">
        <v>38.4</v>
      </c>
      <c r="AQ114">
        <v>76.8</v>
      </c>
      <c r="AR114">
        <v>1.8</v>
      </c>
      <c r="AS114">
        <v>34.47</v>
      </c>
      <c r="AT114">
        <v>307.2</v>
      </c>
      <c r="AY114">
        <v>2.36</v>
      </c>
      <c r="AZ114" t="s">
        <v>497</v>
      </c>
      <c r="BB114" t="s">
        <v>497</v>
      </c>
      <c r="BD114" t="s">
        <v>68</v>
      </c>
      <c r="BE114" t="s">
        <v>547</v>
      </c>
      <c r="BF114" t="s">
        <v>548</v>
      </c>
      <c r="BG114" t="s">
        <v>549</v>
      </c>
      <c r="BH114">
        <v>0</v>
      </c>
      <c r="BI114">
        <v>0</v>
      </c>
      <c r="BJ114">
        <v>1</v>
      </c>
      <c r="BK114" t="s">
        <v>550</v>
      </c>
      <c r="BL114">
        <v>8.8620000000000001</v>
      </c>
      <c r="BN114" t="s">
        <v>502</v>
      </c>
      <c r="BO114" s="1">
        <v>0.47289351851851852</v>
      </c>
      <c r="BP114" s="3">
        <f t="shared" si="10"/>
        <v>1.0117785308264102</v>
      </c>
      <c r="BQ114" s="3">
        <f t="shared" si="11"/>
        <v>0.99308360948813323</v>
      </c>
    </row>
    <row r="115" spans="1:69" hidden="1" x14ac:dyDescent="0.35">
      <c r="A115">
        <v>113</v>
      </c>
      <c r="B115">
        <v>10209</v>
      </c>
      <c r="D115">
        <v>15</v>
      </c>
      <c r="E115">
        <v>2</v>
      </c>
      <c r="G115">
        <v>16351.5</v>
      </c>
      <c r="I115" t="s">
        <v>182</v>
      </c>
      <c r="L115" t="s">
        <v>508</v>
      </c>
      <c r="M115">
        <v>9.0299999999999994</v>
      </c>
      <c r="N115">
        <v>38.6</v>
      </c>
      <c r="O115">
        <v>8.44</v>
      </c>
      <c r="P115" s="3">
        <f t="shared" si="6"/>
        <v>0.93466223698781836</v>
      </c>
      <c r="Q115">
        <v>31.4</v>
      </c>
      <c r="R115" s="3">
        <f t="shared" si="7"/>
        <v>0.81347150259067347</v>
      </c>
      <c r="S115">
        <v>265</v>
      </c>
      <c r="T115">
        <v>9.1539999999999999</v>
      </c>
      <c r="U115">
        <v>37.799999999999997</v>
      </c>
      <c r="V115">
        <v>8.6370000000000005</v>
      </c>
      <c r="W115" s="3">
        <f t="shared" si="8"/>
        <v>0.9435219576141578</v>
      </c>
      <c r="X115">
        <v>30.44</v>
      </c>
      <c r="Y115" s="3">
        <f t="shared" si="9"/>
        <v>0.80529100529100539</v>
      </c>
      <c r="Z115">
        <v>262.89999999999998</v>
      </c>
      <c r="AA115">
        <v>76</v>
      </c>
      <c r="AB115">
        <v>25.1</v>
      </c>
      <c r="AC115" t="s">
        <v>64</v>
      </c>
      <c r="AE115" t="s">
        <v>65</v>
      </c>
      <c r="AF115" t="s">
        <v>66</v>
      </c>
      <c r="AG115" t="s">
        <v>509</v>
      </c>
      <c r="AH115" s="1">
        <v>0.54681712962962958</v>
      </c>
      <c r="AI115" t="s">
        <v>68</v>
      </c>
      <c r="AJ115" t="s">
        <v>69</v>
      </c>
      <c r="AO115">
        <v>7.0090000000000003</v>
      </c>
      <c r="AP115">
        <v>39.101999999999997</v>
      </c>
      <c r="AQ115">
        <v>76.8</v>
      </c>
      <c r="AR115">
        <v>1.61</v>
      </c>
      <c r="AS115">
        <v>34.786000000000001</v>
      </c>
      <c r="AT115">
        <v>307.2</v>
      </c>
      <c r="AY115">
        <v>2.36</v>
      </c>
      <c r="AZ115" t="s">
        <v>510</v>
      </c>
      <c r="BB115" t="s">
        <v>510</v>
      </c>
      <c r="BD115" t="s">
        <v>68</v>
      </c>
      <c r="BE115" t="s">
        <v>551</v>
      </c>
      <c r="BF115" t="s">
        <v>552</v>
      </c>
      <c r="BG115" t="s">
        <v>553</v>
      </c>
      <c r="BH115">
        <v>0</v>
      </c>
      <c r="BI115">
        <v>0</v>
      </c>
      <c r="BJ115">
        <v>1</v>
      </c>
      <c r="BK115" t="s">
        <v>554</v>
      </c>
      <c r="BL115">
        <v>8.8620000000000001</v>
      </c>
      <c r="BN115" t="s">
        <v>502</v>
      </c>
      <c r="BO115" s="1">
        <v>0.53462962962962968</v>
      </c>
      <c r="BP115" s="3">
        <f t="shared" si="10"/>
        <v>1.0094790612862377</v>
      </c>
      <c r="BQ115" s="3">
        <f t="shared" si="11"/>
        <v>0.98994371988002583</v>
      </c>
    </row>
    <row r="116" spans="1:69" hidden="1" x14ac:dyDescent="0.35">
      <c r="A116">
        <v>114</v>
      </c>
      <c r="B116">
        <v>3558</v>
      </c>
      <c r="D116">
        <v>15</v>
      </c>
      <c r="E116">
        <v>1</v>
      </c>
      <c r="G116">
        <v>16344.9</v>
      </c>
      <c r="I116" t="s">
        <v>182</v>
      </c>
      <c r="L116" t="s">
        <v>496</v>
      </c>
      <c r="M116">
        <v>8.98</v>
      </c>
      <c r="N116">
        <v>38.1</v>
      </c>
      <c r="O116">
        <v>8.3699999999999992</v>
      </c>
      <c r="P116" s="3">
        <f t="shared" si="6"/>
        <v>0.93207126948775043</v>
      </c>
      <c r="Q116">
        <v>31.1</v>
      </c>
      <c r="R116" s="3">
        <f t="shared" si="7"/>
        <v>0.81627296587926512</v>
      </c>
      <c r="S116">
        <v>260</v>
      </c>
      <c r="T116">
        <v>8.8190000000000008</v>
      </c>
      <c r="U116">
        <v>36.96</v>
      </c>
      <c r="V116">
        <v>8.3889999999999993</v>
      </c>
      <c r="W116" s="3">
        <f t="shared" si="8"/>
        <v>0.9512416373738517</v>
      </c>
      <c r="X116">
        <v>29.91</v>
      </c>
      <c r="Y116" s="3">
        <f t="shared" si="9"/>
        <v>0.80925324675324672</v>
      </c>
      <c r="Z116">
        <v>250.9</v>
      </c>
      <c r="AA116">
        <v>77</v>
      </c>
      <c r="AB116">
        <v>25.1</v>
      </c>
      <c r="AC116" t="s">
        <v>64</v>
      </c>
      <c r="AE116" t="s">
        <v>65</v>
      </c>
      <c r="AF116" t="s">
        <v>66</v>
      </c>
      <c r="AG116" s="2">
        <v>44471</v>
      </c>
      <c r="AH116" s="1">
        <v>0.4758101851851852</v>
      </c>
      <c r="AI116" t="s">
        <v>68</v>
      </c>
      <c r="AJ116" t="s">
        <v>69</v>
      </c>
      <c r="AO116">
        <v>7</v>
      </c>
      <c r="AP116">
        <v>38.200000000000003</v>
      </c>
      <c r="AQ116">
        <v>76.8</v>
      </c>
      <c r="AR116">
        <v>1.6</v>
      </c>
      <c r="AS116">
        <v>33.9</v>
      </c>
      <c r="AT116">
        <v>307.2</v>
      </c>
      <c r="AY116">
        <v>2.36</v>
      </c>
      <c r="AZ116" t="s">
        <v>497</v>
      </c>
      <c r="BB116" t="s">
        <v>497</v>
      </c>
      <c r="BD116" t="s">
        <v>68</v>
      </c>
      <c r="BE116" t="s">
        <v>555</v>
      </c>
      <c r="BF116" t="s">
        <v>556</v>
      </c>
      <c r="BG116" t="s">
        <v>557</v>
      </c>
      <c r="BH116">
        <v>0</v>
      </c>
      <c r="BI116">
        <v>1</v>
      </c>
      <c r="BJ116">
        <v>2</v>
      </c>
      <c r="BK116" t="s">
        <v>558</v>
      </c>
      <c r="BL116">
        <v>8.8620000000000001</v>
      </c>
      <c r="BN116" t="s">
        <v>502</v>
      </c>
      <c r="BO116" s="1">
        <v>0.5899537037037037</v>
      </c>
      <c r="BP116" s="3">
        <f t="shared" si="10"/>
        <v>1.0205674914715877</v>
      </c>
      <c r="BQ116" s="3">
        <f t="shared" si="11"/>
        <v>0.99140027978452405</v>
      </c>
    </row>
    <row r="117" spans="1:69" hidden="1" x14ac:dyDescent="0.35">
      <c r="A117">
        <v>115</v>
      </c>
      <c r="B117">
        <v>3558</v>
      </c>
      <c r="D117">
        <v>15</v>
      </c>
      <c r="E117">
        <v>1</v>
      </c>
      <c r="G117">
        <v>16351.5</v>
      </c>
      <c r="I117" t="s">
        <v>182</v>
      </c>
      <c r="L117" t="s">
        <v>508</v>
      </c>
      <c r="M117">
        <v>8.98</v>
      </c>
      <c r="N117">
        <v>38.1</v>
      </c>
      <c r="O117">
        <v>8.3699999999999992</v>
      </c>
      <c r="P117" s="3">
        <f t="shared" si="6"/>
        <v>0.93207126948775043</v>
      </c>
      <c r="Q117">
        <v>31.1</v>
      </c>
      <c r="R117" s="3">
        <f t="shared" si="7"/>
        <v>0.81627296587926512</v>
      </c>
      <c r="S117">
        <v>260</v>
      </c>
      <c r="T117">
        <v>8.8109999999999999</v>
      </c>
      <c r="U117">
        <v>36.97</v>
      </c>
      <c r="V117">
        <v>8.3879999999999999</v>
      </c>
      <c r="W117" s="3">
        <f t="shared" si="8"/>
        <v>0.95199182839632279</v>
      </c>
      <c r="X117">
        <v>30.06</v>
      </c>
      <c r="Y117" s="3">
        <f t="shared" si="9"/>
        <v>0.81309169596970521</v>
      </c>
      <c r="Z117">
        <v>252.2</v>
      </c>
      <c r="AA117">
        <v>77.400000000000006</v>
      </c>
      <c r="AB117">
        <v>25.2</v>
      </c>
      <c r="AC117" t="s">
        <v>64</v>
      </c>
      <c r="AE117" t="s">
        <v>65</v>
      </c>
      <c r="AF117" t="s">
        <v>66</v>
      </c>
      <c r="AG117" t="s">
        <v>509</v>
      </c>
      <c r="AH117" s="1">
        <v>0.54861111111111116</v>
      </c>
      <c r="AI117" t="s">
        <v>68</v>
      </c>
      <c r="AJ117" t="s">
        <v>69</v>
      </c>
      <c r="AO117">
        <v>7.0090000000000003</v>
      </c>
      <c r="AP117">
        <v>37.188000000000002</v>
      </c>
      <c r="AQ117">
        <v>76.8</v>
      </c>
      <c r="AR117">
        <v>1.6</v>
      </c>
      <c r="AS117">
        <v>33.284999999999997</v>
      </c>
      <c r="AT117">
        <v>307.2</v>
      </c>
      <c r="AY117">
        <v>2.36</v>
      </c>
      <c r="AZ117" t="s">
        <v>510</v>
      </c>
      <c r="BB117" t="s">
        <v>510</v>
      </c>
      <c r="BD117" t="s">
        <v>68</v>
      </c>
      <c r="BE117" t="s">
        <v>559</v>
      </c>
      <c r="BF117" t="s">
        <v>560</v>
      </c>
      <c r="BG117" t="s">
        <v>561</v>
      </c>
      <c r="BH117">
        <v>0</v>
      </c>
      <c r="BI117">
        <v>0</v>
      </c>
      <c r="BJ117">
        <v>2</v>
      </c>
      <c r="BK117" t="s">
        <v>562</v>
      </c>
      <c r="BL117">
        <v>8.8620000000000001</v>
      </c>
      <c r="BN117" t="s">
        <v>502</v>
      </c>
      <c r="BO117" s="1">
        <v>0.5899537037037037</v>
      </c>
      <c r="BP117" s="3">
        <f t="shared" si="10"/>
        <v>1.0213723559138566</v>
      </c>
      <c r="BQ117" s="3">
        <f t="shared" si="11"/>
        <v>0.99610268863169671</v>
      </c>
    </row>
    <row r="118" spans="1:69" hidden="1" x14ac:dyDescent="0.35">
      <c r="A118">
        <v>116</v>
      </c>
      <c r="B118">
        <v>3285</v>
      </c>
      <c r="D118">
        <v>15</v>
      </c>
      <c r="E118">
        <v>2</v>
      </c>
      <c r="G118">
        <v>16344.9</v>
      </c>
      <c r="I118" t="s">
        <v>182</v>
      </c>
      <c r="L118" t="s">
        <v>496</v>
      </c>
      <c r="M118">
        <v>9.0299999999999994</v>
      </c>
      <c r="N118">
        <v>38.6</v>
      </c>
      <c r="O118">
        <v>8.44</v>
      </c>
      <c r="P118" s="3">
        <f t="shared" si="6"/>
        <v>0.93466223698781836</v>
      </c>
      <c r="Q118">
        <v>31.4</v>
      </c>
      <c r="R118" s="3">
        <f t="shared" si="7"/>
        <v>0.81347150259067347</v>
      </c>
      <c r="S118">
        <v>265</v>
      </c>
      <c r="T118">
        <v>9.1780000000000008</v>
      </c>
      <c r="U118">
        <v>37.82</v>
      </c>
      <c r="V118">
        <v>8.6999999999999993</v>
      </c>
      <c r="W118" s="3">
        <f t="shared" si="8"/>
        <v>0.94791893658749171</v>
      </c>
      <c r="X118">
        <v>30.66</v>
      </c>
      <c r="Y118" s="3">
        <f t="shared" si="9"/>
        <v>0.81068217874140669</v>
      </c>
      <c r="Z118">
        <v>266.7</v>
      </c>
      <c r="AA118">
        <v>76.900000000000006</v>
      </c>
      <c r="AB118">
        <v>25.3</v>
      </c>
      <c r="AC118" t="s">
        <v>64</v>
      </c>
      <c r="AE118" t="s">
        <v>65</v>
      </c>
      <c r="AF118" t="s">
        <v>66</v>
      </c>
      <c r="AG118" s="2">
        <v>44471</v>
      </c>
      <c r="AH118" s="1">
        <v>0.47143518518518518</v>
      </c>
      <c r="AI118" t="s">
        <v>68</v>
      </c>
      <c r="AJ118" t="s">
        <v>69</v>
      </c>
      <c r="AO118">
        <v>7.1</v>
      </c>
      <c r="AP118">
        <v>38.799999999999997</v>
      </c>
      <c r="AQ118">
        <v>76.8</v>
      </c>
      <c r="AR118">
        <v>1.8</v>
      </c>
      <c r="AS118">
        <v>35.1</v>
      </c>
      <c r="AT118">
        <v>307.2</v>
      </c>
      <c r="AY118">
        <v>2.36</v>
      </c>
      <c r="AZ118" t="s">
        <v>497</v>
      </c>
      <c r="BB118" t="s">
        <v>497</v>
      </c>
      <c r="BD118" t="s">
        <v>68</v>
      </c>
      <c r="BE118" t="s">
        <v>563</v>
      </c>
      <c r="BF118" t="s">
        <v>564</v>
      </c>
      <c r="BG118" t="s">
        <v>565</v>
      </c>
      <c r="BH118">
        <v>0</v>
      </c>
      <c r="BI118">
        <v>0</v>
      </c>
      <c r="BJ118">
        <v>1</v>
      </c>
      <c r="BK118" t="s">
        <v>566</v>
      </c>
      <c r="BL118">
        <v>8.8620000000000001</v>
      </c>
      <c r="BN118" t="s">
        <v>502</v>
      </c>
      <c r="BO118" s="1">
        <v>0.47721064814814818</v>
      </c>
      <c r="BP118" s="3">
        <f t="shared" si="10"/>
        <v>1.0141834120124467</v>
      </c>
      <c r="BQ118" s="3">
        <f t="shared" si="11"/>
        <v>0.99657108596873578</v>
      </c>
    </row>
    <row r="119" spans="1:69" hidden="1" x14ac:dyDescent="0.35">
      <c r="A119">
        <v>117</v>
      </c>
      <c r="B119">
        <v>3315</v>
      </c>
      <c r="D119">
        <v>15</v>
      </c>
      <c r="E119">
        <v>2</v>
      </c>
      <c r="G119">
        <v>16344.9</v>
      </c>
      <c r="I119" t="s">
        <v>182</v>
      </c>
      <c r="L119" t="s">
        <v>496</v>
      </c>
      <c r="M119">
        <v>9.0299999999999994</v>
      </c>
      <c r="N119">
        <v>38.6</v>
      </c>
      <c r="O119">
        <v>8.44</v>
      </c>
      <c r="P119" s="3">
        <f t="shared" si="6"/>
        <v>0.93466223698781836</v>
      </c>
      <c r="Q119">
        <v>31.4</v>
      </c>
      <c r="R119" s="3">
        <f t="shared" si="7"/>
        <v>0.81347150259067347</v>
      </c>
      <c r="S119">
        <v>265</v>
      </c>
      <c r="T119">
        <v>9.0459999999999994</v>
      </c>
      <c r="U119">
        <v>37.47</v>
      </c>
      <c r="V119">
        <v>8.58</v>
      </c>
      <c r="W119" s="3">
        <f t="shared" si="8"/>
        <v>0.94848551846119844</v>
      </c>
      <c r="X119">
        <v>30.32</v>
      </c>
      <c r="Y119" s="3">
        <f t="shared" si="9"/>
        <v>0.80918067787563386</v>
      </c>
      <c r="Z119">
        <v>260.10000000000002</v>
      </c>
      <c r="AA119">
        <v>76.8</v>
      </c>
      <c r="AB119">
        <v>24.7</v>
      </c>
      <c r="AC119" t="s">
        <v>64</v>
      </c>
      <c r="AE119" t="s">
        <v>65</v>
      </c>
      <c r="AF119" t="s">
        <v>66</v>
      </c>
      <c r="AG119" s="2">
        <v>44471</v>
      </c>
      <c r="AH119" s="1">
        <v>0.48355324074074074</v>
      </c>
      <c r="AI119" t="s">
        <v>68</v>
      </c>
      <c r="AJ119" t="s">
        <v>69</v>
      </c>
      <c r="AO119">
        <v>7.2</v>
      </c>
      <c r="AP119">
        <v>38.299999999999997</v>
      </c>
      <c r="AQ119">
        <v>76.8</v>
      </c>
      <c r="AR119">
        <v>1.8</v>
      </c>
      <c r="AS119">
        <v>34.799999999999997</v>
      </c>
      <c r="AT119">
        <v>307.2</v>
      </c>
      <c r="AY119">
        <v>2.36</v>
      </c>
      <c r="AZ119" t="s">
        <v>497</v>
      </c>
      <c r="BB119" t="s">
        <v>497</v>
      </c>
      <c r="BD119" t="s">
        <v>68</v>
      </c>
      <c r="BE119" t="s">
        <v>567</v>
      </c>
      <c r="BF119" t="s">
        <v>568</v>
      </c>
      <c r="BG119" t="s">
        <v>569</v>
      </c>
      <c r="BH119">
        <v>0</v>
      </c>
      <c r="BI119">
        <v>1</v>
      </c>
      <c r="BJ119">
        <v>2</v>
      </c>
      <c r="BK119" t="s">
        <v>570</v>
      </c>
      <c r="BL119">
        <v>8.8620000000000001</v>
      </c>
      <c r="BN119" t="s">
        <v>502</v>
      </c>
      <c r="BO119" s="1">
        <v>0.54620370370370375</v>
      </c>
      <c r="BP119" s="3">
        <f t="shared" si="10"/>
        <v>1.0147896009128698</v>
      </c>
      <c r="BQ119" s="3">
        <f t="shared" si="11"/>
        <v>0.99472529191081116</v>
      </c>
    </row>
    <row r="120" spans="1:69" hidden="1" x14ac:dyDescent="0.35">
      <c r="A120">
        <v>118</v>
      </c>
      <c r="B120">
        <v>3315</v>
      </c>
      <c r="D120">
        <v>15</v>
      </c>
      <c r="E120">
        <v>2</v>
      </c>
      <c r="G120">
        <v>16351.5</v>
      </c>
      <c r="I120" t="s">
        <v>182</v>
      </c>
      <c r="L120" t="s">
        <v>508</v>
      </c>
      <c r="M120">
        <v>9.0299999999999994</v>
      </c>
      <c r="N120">
        <v>38.6</v>
      </c>
      <c r="O120">
        <v>8.44</v>
      </c>
      <c r="P120" s="3">
        <f t="shared" si="6"/>
        <v>0.93466223698781836</v>
      </c>
      <c r="Q120">
        <v>31.4</v>
      </c>
      <c r="R120" s="3">
        <f t="shared" si="7"/>
        <v>0.81347150259067347</v>
      </c>
      <c r="S120">
        <v>265</v>
      </c>
      <c r="T120">
        <v>9.0389999999999997</v>
      </c>
      <c r="U120">
        <v>37.479999999999997</v>
      </c>
      <c r="V120">
        <v>8.5890000000000004</v>
      </c>
      <c r="W120" s="3">
        <f t="shared" si="8"/>
        <v>0.95021573182874219</v>
      </c>
      <c r="X120">
        <v>30.49</v>
      </c>
      <c r="Y120" s="3">
        <f t="shared" si="9"/>
        <v>0.81350053361792962</v>
      </c>
      <c r="Z120">
        <v>261.89999999999998</v>
      </c>
      <c r="AA120">
        <v>77.3</v>
      </c>
      <c r="AB120">
        <v>25</v>
      </c>
      <c r="AC120" t="s">
        <v>64</v>
      </c>
      <c r="AE120" t="s">
        <v>65</v>
      </c>
      <c r="AF120" t="s">
        <v>66</v>
      </c>
      <c r="AG120" t="s">
        <v>509</v>
      </c>
      <c r="AH120" s="1">
        <v>0.5433796296296296</v>
      </c>
      <c r="AI120" t="s">
        <v>68</v>
      </c>
      <c r="AJ120" t="s">
        <v>69</v>
      </c>
      <c r="AO120">
        <v>7.0090000000000003</v>
      </c>
      <c r="AP120">
        <v>38.502000000000002</v>
      </c>
      <c r="AQ120">
        <v>76.8</v>
      </c>
      <c r="AR120">
        <v>1.605</v>
      </c>
      <c r="AS120">
        <v>34.372999999999998</v>
      </c>
      <c r="AT120">
        <v>307.2</v>
      </c>
      <c r="AY120">
        <v>2.36</v>
      </c>
      <c r="AZ120" t="s">
        <v>510</v>
      </c>
      <c r="BB120" t="s">
        <v>510</v>
      </c>
      <c r="BD120" t="s">
        <v>68</v>
      </c>
      <c r="BE120" t="s">
        <v>571</v>
      </c>
      <c r="BF120" t="s">
        <v>572</v>
      </c>
      <c r="BG120" t="s">
        <v>573</v>
      </c>
      <c r="BH120">
        <v>0</v>
      </c>
      <c r="BI120">
        <v>0</v>
      </c>
      <c r="BJ120">
        <v>2</v>
      </c>
      <c r="BK120" t="s">
        <v>574</v>
      </c>
      <c r="BL120">
        <v>8.8620000000000001</v>
      </c>
      <c r="BN120" t="s">
        <v>502</v>
      </c>
      <c r="BO120" s="1">
        <v>0.54620370370370375</v>
      </c>
      <c r="BP120" s="3">
        <f t="shared" si="10"/>
        <v>1.0166407652148746</v>
      </c>
      <c r="BQ120" s="3">
        <f t="shared" si="11"/>
        <v>1.000035687823315</v>
      </c>
    </row>
    <row r="121" spans="1:69" hidden="1" x14ac:dyDescent="0.35">
      <c r="A121">
        <v>119</v>
      </c>
      <c r="B121">
        <v>3280</v>
      </c>
      <c r="D121">
        <v>15</v>
      </c>
      <c r="E121">
        <v>2</v>
      </c>
      <c r="G121">
        <v>16344.9</v>
      </c>
      <c r="I121" t="s">
        <v>182</v>
      </c>
      <c r="L121" t="s">
        <v>496</v>
      </c>
      <c r="M121">
        <v>9.0299999999999994</v>
      </c>
      <c r="N121">
        <v>38.6</v>
      </c>
      <c r="O121">
        <v>8.44</v>
      </c>
      <c r="P121" s="3">
        <f t="shared" si="6"/>
        <v>0.93466223698781836</v>
      </c>
      <c r="Q121">
        <v>31.4</v>
      </c>
      <c r="R121" s="3">
        <f t="shared" si="7"/>
        <v>0.81347150259067347</v>
      </c>
      <c r="S121">
        <v>265</v>
      </c>
      <c r="T121">
        <v>9.0030000000000001</v>
      </c>
      <c r="U121">
        <v>37.25</v>
      </c>
      <c r="V121">
        <v>8.5350000000000001</v>
      </c>
      <c r="W121" s="3">
        <f t="shared" si="8"/>
        <v>0.9480173275574808</v>
      </c>
      <c r="X121">
        <v>30.03</v>
      </c>
      <c r="Y121" s="3">
        <f t="shared" si="9"/>
        <v>0.8061744966442953</v>
      </c>
      <c r="Z121">
        <v>256.3</v>
      </c>
      <c r="AA121">
        <v>76.400000000000006</v>
      </c>
      <c r="AB121">
        <v>25</v>
      </c>
      <c r="AC121" t="s">
        <v>64</v>
      </c>
      <c r="AE121" t="s">
        <v>65</v>
      </c>
      <c r="AF121" t="s">
        <v>66</v>
      </c>
      <c r="AG121" s="2">
        <v>44471</v>
      </c>
      <c r="AH121" s="1">
        <v>0.48538194444444444</v>
      </c>
      <c r="AI121" t="s">
        <v>68</v>
      </c>
      <c r="AJ121" t="s">
        <v>69</v>
      </c>
      <c r="AO121">
        <v>7.2</v>
      </c>
      <c r="AP121">
        <v>38.1</v>
      </c>
      <c r="AQ121">
        <v>76.8</v>
      </c>
      <c r="AR121">
        <v>1.8</v>
      </c>
      <c r="AS121">
        <v>34.700000000000003</v>
      </c>
      <c r="AT121">
        <v>307.2</v>
      </c>
      <c r="AY121">
        <v>2.36</v>
      </c>
      <c r="AZ121" t="s">
        <v>497</v>
      </c>
      <c r="BB121" t="s">
        <v>497</v>
      </c>
      <c r="BD121" t="s">
        <v>68</v>
      </c>
      <c r="BE121" t="s">
        <v>575</v>
      </c>
      <c r="BF121" t="s">
        <v>576</v>
      </c>
      <c r="BG121" t="s">
        <v>577</v>
      </c>
      <c r="BH121">
        <v>0</v>
      </c>
      <c r="BI121">
        <v>1</v>
      </c>
      <c r="BJ121">
        <v>2</v>
      </c>
      <c r="BK121" t="s">
        <v>578</v>
      </c>
      <c r="BL121">
        <v>8.8620000000000001</v>
      </c>
      <c r="BN121" t="s">
        <v>502</v>
      </c>
      <c r="BO121" s="1">
        <v>0.50003472222222223</v>
      </c>
      <c r="BP121" s="3">
        <f t="shared" si="10"/>
        <v>1.0142886810241767</v>
      </c>
      <c r="BQ121" s="3">
        <f t="shared" si="11"/>
        <v>0.99102979523789181</v>
      </c>
    </row>
    <row r="122" spans="1:69" hidden="1" x14ac:dyDescent="0.35">
      <c r="A122">
        <v>120</v>
      </c>
      <c r="B122">
        <v>3280</v>
      </c>
      <c r="D122">
        <v>15</v>
      </c>
      <c r="E122">
        <v>2</v>
      </c>
      <c r="G122">
        <v>16351.5</v>
      </c>
      <c r="I122" t="s">
        <v>182</v>
      </c>
      <c r="L122" t="s">
        <v>508</v>
      </c>
      <c r="M122">
        <v>9.0299999999999994</v>
      </c>
      <c r="N122">
        <v>38.6</v>
      </c>
      <c r="O122">
        <v>8.44</v>
      </c>
      <c r="P122" s="3">
        <f t="shared" si="6"/>
        <v>0.93466223698781836</v>
      </c>
      <c r="Q122">
        <v>31.4</v>
      </c>
      <c r="R122" s="3">
        <f t="shared" si="7"/>
        <v>0.81347150259067347</v>
      </c>
      <c r="S122">
        <v>265</v>
      </c>
      <c r="T122">
        <v>8.9939999999999998</v>
      </c>
      <c r="U122">
        <v>37.22</v>
      </c>
      <c r="V122">
        <v>8.5299999999999994</v>
      </c>
      <c r="W122" s="3">
        <f t="shared" si="8"/>
        <v>0.94841005114520782</v>
      </c>
      <c r="X122">
        <v>30.21</v>
      </c>
      <c r="Y122" s="3">
        <f t="shared" si="9"/>
        <v>0.81166039763567976</v>
      </c>
      <c r="Z122">
        <v>257.7</v>
      </c>
      <c r="AA122">
        <v>77</v>
      </c>
      <c r="AB122">
        <v>24.9</v>
      </c>
      <c r="AC122" t="s">
        <v>64</v>
      </c>
      <c r="AE122" t="s">
        <v>65</v>
      </c>
      <c r="AF122" t="s">
        <v>66</v>
      </c>
      <c r="AG122" t="s">
        <v>509</v>
      </c>
      <c r="AH122" s="1">
        <v>0.54152777777777783</v>
      </c>
      <c r="AI122" t="s">
        <v>68</v>
      </c>
      <c r="AJ122" t="s">
        <v>69</v>
      </c>
      <c r="AO122">
        <v>7.0090000000000003</v>
      </c>
      <c r="AP122">
        <v>38.314</v>
      </c>
      <c r="AQ122">
        <v>76.8</v>
      </c>
      <c r="AR122">
        <v>1.605</v>
      </c>
      <c r="AS122">
        <v>34.073</v>
      </c>
      <c r="AT122">
        <v>307.2</v>
      </c>
      <c r="AY122">
        <v>2.36</v>
      </c>
      <c r="AZ122" t="s">
        <v>510</v>
      </c>
      <c r="BB122" t="s">
        <v>510</v>
      </c>
      <c r="BD122" t="s">
        <v>68</v>
      </c>
      <c r="BE122" t="s">
        <v>579</v>
      </c>
      <c r="BF122" t="s">
        <v>580</v>
      </c>
      <c r="BG122" t="s">
        <v>581</v>
      </c>
      <c r="BH122">
        <v>0</v>
      </c>
      <c r="BI122">
        <v>0</v>
      </c>
      <c r="BJ122">
        <v>2</v>
      </c>
      <c r="BK122" t="s">
        <v>582</v>
      </c>
      <c r="BL122">
        <v>8.8620000000000001</v>
      </c>
      <c r="BN122" t="s">
        <v>502</v>
      </c>
      <c r="BO122" s="1">
        <v>0.50003472222222223</v>
      </c>
      <c r="BP122" s="3">
        <f t="shared" si="10"/>
        <v>1.0147088580380601</v>
      </c>
      <c r="BQ122" s="3">
        <f t="shared" si="11"/>
        <v>0.99777360983239627</v>
      </c>
    </row>
    <row r="123" spans="1:69" hidden="1" x14ac:dyDescent="0.35">
      <c r="A123">
        <v>121</v>
      </c>
      <c r="B123">
        <v>3305</v>
      </c>
      <c r="D123">
        <v>15</v>
      </c>
      <c r="E123">
        <v>2</v>
      </c>
      <c r="G123">
        <v>16344.9</v>
      </c>
      <c r="I123" t="s">
        <v>182</v>
      </c>
      <c r="L123" t="s">
        <v>496</v>
      </c>
      <c r="M123">
        <v>9.0299999999999994</v>
      </c>
      <c r="N123">
        <v>38.6</v>
      </c>
      <c r="O123">
        <v>8.44</v>
      </c>
      <c r="P123" s="3">
        <f t="shared" si="6"/>
        <v>0.93466223698781836</v>
      </c>
      <c r="Q123">
        <v>31.4</v>
      </c>
      <c r="R123" s="3">
        <f t="shared" si="7"/>
        <v>0.81347150259067347</v>
      </c>
      <c r="S123">
        <v>265</v>
      </c>
      <c r="T123">
        <v>9.0139999999999993</v>
      </c>
      <c r="U123">
        <v>37.299999999999997</v>
      </c>
      <c r="V123">
        <v>8.5609999999999999</v>
      </c>
      <c r="W123" s="3">
        <f t="shared" si="8"/>
        <v>0.94974484135788784</v>
      </c>
      <c r="X123">
        <v>29.97</v>
      </c>
      <c r="Y123" s="3">
        <f t="shared" si="9"/>
        <v>0.80348525469168908</v>
      </c>
      <c r="Z123">
        <v>256.60000000000002</v>
      </c>
      <c r="AA123">
        <v>76.3</v>
      </c>
      <c r="AB123">
        <v>24.6</v>
      </c>
      <c r="AC123" t="s">
        <v>64</v>
      </c>
      <c r="AE123" t="s">
        <v>65</v>
      </c>
      <c r="AF123" t="s">
        <v>66</v>
      </c>
      <c r="AG123" s="2">
        <v>44471</v>
      </c>
      <c r="AH123" s="1">
        <v>0.48098379629629628</v>
      </c>
      <c r="AI123" t="s">
        <v>68</v>
      </c>
      <c r="AJ123" t="s">
        <v>69</v>
      </c>
      <c r="AO123">
        <v>7.2</v>
      </c>
      <c r="AP123">
        <v>38.5</v>
      </c>
      <c r="AQ123">
        <v>76.8</v>
      </c>
      <c r="AR123">
        <v>1.9</v>
      </c>
      <c r="AS123">
        <v>34.700000000000003</v>
      </c>
      <c r="AT123">
        <v>307.2</v>
      </c>
      <c r="AY123">
        <v>2.36</v>
      </c>
      <c r="AZ123" t="s">
        <v>497</v>
      </c>
      <c r="BB123" t="s">
        <v>497</v>
      </c>
      <c r="BD123" t="s">
        <v>68</v>
      </c>
      <c r="BE123" t="s">
        <v>583</v>
      </c>
      <c r="BF123" t="s">
        <v>584</v>
      </c>
      <c r="BG123" t="s">
        <v>585</v>
      </c>
      <c r="BH123">
        <v>0</v>
      </c>
      <c r="BI123">
        <v>1</v>
      </c>
      <c r="BJ123">
        <v>2</v>
      </c>
      <c r="BK123" t="s">
        <v>586</v>
      </c>
      <c r="BL123">
        <v>8.8620000000000001</v>
      </c>
      <c r="BN123" t="s">
        <v>502</v>
      </c>
      <c r="BO123" s="1">
        <v>0.55784722222222227</v>
      </c>
      <c r="BP123" s="3">
        <f t="shared" si="10"/>
        <v>1.0161369570452283</v>
      </c>
      <c r="BQ123" s="3">
        <f t="shared" si="11"/>
        <v>0.98772391181844599</v>
      </c>
    </row>
    <row r="124" spans="1:69" hidden="1" x14ac:dyDescent="0.35">
      <c r="A124">
        <v>122</v>
      </c>
      <c r="B124">
        <v>3305</v>
      </c>
      <c r="D124">
        <v>15</v>
      </c>
      <c r="E124">
        <v>2</v>
      </c>
      <c r="G124">
        <v>16351.5</v>
      </c>
      <c r="I124" t="s">
        <v>182</v>
      </c>
      <c r="L124" t="s">
        <v>508</v>
      </c>
      <c r="M124">
        <v>9.0299999999999994</v>
      </c>
      <c r="N124">
        <v>38.6</v>
      </c>
      <c r="O124">
        <v>8.44</v>
      </c>
      <c r="P124" s="3">
        <f t="shared" si="6"/>
        <v>0.93466223698781836</v>
      </c>
      <c r="Q124">
        <v>31.4</v>
      </c>
      <c r="R124" s="3">
        <f t="shared" si="7"/>
        <v>0.81347150259067347</v>
      </c>
      <c r="S124">
        <v>265</v>
      </c>
      <c r="T124">
        <v>8.9870000000000001</v>
      </c>
      <c r="U124">
        <v>37.22</v>
      </c>
      <c r="V124">
        <v>8.5449999999999999</v>
      </c>
      <c r="W124" s="3">
        <f t="shared" si="8"/>
        <v>0.95081784800267055</v>
      </c>
      <c r="X124">
        <v>30.12</v>
      </c>
      <c r="Y124" s="3">
        <f t="shared" si="9"/>
        <v>0.80924234282643748</v>
      </c>
      <c r="Z124">
        <v>257.3</v>
      </c>
      <c r="AA124">
        <v>76.900000000000006</v>
      </c>
      <c r="AB124">
        <v>25.3</v>
      </c>
      <c r="AC124" t="s">
        <v>64</v>
      </c>
      <c r="AE124" t="s">
        <v>65</v>
      </c>
      <c r="AF124" t="s">
        <v>66</v>
      </c>
      <c r="AG124" t="s">
        <v>509</v>
      </c>
      <c r="AH124" s="1">
        <v>0.53900462962962958</v>
      </c>
      <c r="AI124" t="s">
        <v>68</v>
      </c>
      <c r="AJ124" t="s">
        <v>69</v>
      </c>
      <c r="AO124">
        <v>7.0140000000000002</v>
      </c>
      <c r="AP124">
        <v>38.238999999999997</v>
      </c>
      <c r="AQ124">
        <v>76.8</v>
      </c>
      <c r="AR124">
        <v>1.605</v>
      </c>
      <c r="AS124">
        <v>34.034999999999997</v>
      </c>
      <c r="AT124">
        <v>307.2</v>
      </c>
      <c r="AY124">
        <v>2.36</v>
      </c>
      <c r="AZ124" t="s">
        <v>510</v>
      </c>
      <c r="BB124" t="s">
        <v>510</v>
      </c>
      <c r="BD124" t="s">
        <v>68</v>
      </c>
      <c r="BE124" t="s">
        <v>587</v>
      </c>
      <c r="BF124" t="s">
        <v>588</v>
      </c>
      <c r="BG124" t="s">
        <v>589</v>
      </c>
      <c r="BH124">
        <v>0</v>
      </c>
      <c r="BI124">
        <v>0</v>
      </c>
      <c r="BJ124">
        <v>2</v>
      </c>
      <c r="BK124" t="s">
        <v>590</v>
      </c>
      <c r="BL124">
        <v>8.8620000000000001</v>
      </c>
      <c r="BN124" t="s">
        <v>502</v>
      </c>
      <c r="BO124" s="1">
        <v>0.55784722222222227</v>
      </c>
      <c r="BP124" s="3">
        <f t="shared" si="10"/>
        <v>1.0172849724483548</v>
      </c>
      <c r="BQ124" s="3">
        <f t="shared" si="11"/>
        <v>0.99480109659555704</v>
      </c>
    </row>
    <row r="125" spans="1:69" hidden="1" x14ac:dyDescent="0.35">
      <c r="A125">
        <v>123</v>
      </c>
      <c r="B125">
        <v>3548</v>
      </c>
      <c r="D125">
        <v>15</v>
      </c>
      <c r="E125">
        <v>1</v>
      </c>
      <c r="G125">
        <v>16344.9</v>
      </c>
      <c r="I125" t="s">
        <v>182</v>
      </c>
      <c r="L125" t="s">
        <v>496</v>
      </c>
      <c r="M125">
        <v>8.98</v>
      </c>
      <c r="N125">
        <v>38.1</v>
      </c>
      <c r="O125">
        <v>8.3699999999999992</v>
      </c>
      <c r="P125" s="3">
        <f t="shared" si="6"/>
        <v>0.93207126948775043</v>
      </c>
      <c r="Q125">
        <v>31.1</v>
      </c>
      <c r="R125" s="3">
        <f t="shared" si="7"/>
        <v>0.81627296587926512</v>
      </c>
      <c r="S125">
        <v>260</v>
      </c>
      <c r="T125">
        <v>8.9350000000000005</v>
      </c>
      <c r="U125">
        <v>37.090000000000003</v>
      </c>
      <c r="V125">
        <v>8.4109999999999996</v>
      </c>
      <c r="W125" s="3">
        <f t="shared" si="8"/>
        <v>0.94135422495803012</v>
      </c>
      <c r="X125">
        <v>30.06</v>
      </c>
      <c r="Y125" s="3">
        <f t="shared" si="9"/>
        <v>0.81046104071178204</v>
      </c>
      <c r="Z125">
        <v>252.8</v>
      </c>
      <c r="AA125">
        <v>76.3</v>
      </c>
      <c r="AB125">
        <v>25.4</v>
      </c>
      <c r="AC125" t="s">
        <v>64</v>
      </c>
      <c r="AE125" t="s">
        <v>65</v>
      </c>
      <c r="AF125" t="s">
        <v>66</v>
      </c>
      <c r="AG125" s="2">
        <v>44471</v>
      </c>
      <c r="AH125" s="1">
        <v>0.47283564814814816</v>
      </c>
      <c r="AI125" t="s">
        <v>68</v>
      </c>
      <c r="AJ125" t="s">
        <v>69</v>
      </c>
      <c r="AO125">
        <v>7</v>
      </c>
      <c r="AP125">
        <v>38</v>
      </c>
      <c r="AQ125">
        <v>76.8</v>
      </c>
      <c r="AR125">
        <v>1.6</v>
      </c>
      <c r="AS125">
        <v>34</v>
      </c>
      <c r="AT125">
        <v>307.2</v>
      </c>
      <c r="AY125">
        <v>2.36</v>
      </c>
      <c r="AZ125" t="s">
        <v>497</v>
      </c>
      <c r="BB125" t="s">
        <v>497</v>
      </c>
      <c r="BD125" t="s">
        <v>68</v>
      </c>
      <c r="BE125" t="s">
        <v>591</v>
      </c>
      <c r="BF125" t="s">
        <v>592</v>
      </c>
      <c r="BG125" t="s">
        <v>593</v>
      </c>
      <c r="BH125">
        <v>0</v>
      </c>
      <c r="BI125">
        <v>0</v>
      </c>
      <c r="BJ125">
        <v>1</v>
      </c>
      <c r="BK125" t="s">
        <v>594</v>
      </c>
      <c r="BL125">
        <v>8.8620000000000001</v>
      </c>
      <c r="BN125" t="s">
        <v>502</v>
      </c>
      <c r="BO125" s="1">
        <v>0.61324074074074075</v>
      </c>
      <c r="BP125" s="3">
        <f t="shared" si="10"/>
        <v>1.0099594910541352</v>
      </c>
      <c r="BQ125" s="3">
        <f t="shared" si="11"/>
        <v>0.99287992447327633</v>
      </c>
    </row>
    <row r="126" spans="1:69" hidden="1" x14ac:dyDescent="0.35">
      <c r="A126">
        <v>124</v>
      </c>
      <c r="B126">
        <v>3549</v>
      </c>
      <c r="D126">
        <v>15</v>
      </c>
      <c r="E126">
        <v>1</v>
      </c>
      <c r="G126">
        <v>16344.9</v>
      </c>
      <c r="I126" t="s">
        <v>182</v>
      </c>
      <c r="L126" t="s">
        <v>496</v>
      </c>
      <c r="M126">
        <v>8.98</v>
      </c>
      <c r="N126">
        <v>38.1</v>
      </c>
      <c r="O126">
        <v>8.3699999999999992</v>
      </c>
      <c r="P126" s="3">
        <f t="shared" si="6"/>
        <v>0.93207126948775043</v>
      </c>
      <c r="Q126">
        <v>31.1</v>
      </c>
      <c r="R126" s="3">
        <f t="shared" si="7"/>
        <v>0.81627296587926512</v>
      </c>
      <c r="S126">
        <v>260</v>
      </c>
      <c r="T126">
        <v>8.8219999999999992</v>
      </c>
      <c r="U126">
        <v>36.96</v>
      </c>
      <c r="V126">
        <v>8.3689999999999998</v>
      </c>
      <c r="W126" s="3">
        <f t="shared" si="8"/>
        <v>0.94865109952391757</v>
      </c>
      <c r="X126">
        <v>29.91</v>
      </c>
      <c r="Y126" s="3">
        <f t="shared" si="9"/>
        <v>0.80925324675324672</v>
      </c>
      <c r="Z126">
        <v>250.3</v>
      </c>
      <c r="AA126">
        <v>76.8</v>
      </c>
      <c r="AB126">
        <v>25.3</v>
      </c>
      <c r="AC126" t="s">
        <v>64</v>
      </c>
      <c r="AE126" t="s">
        <v>65</v>
      </c>
      <c r="AF126" t="s">
        <v>66</v>
      </c>
      <c r="AG126" s="2">
        <v>44471</v>
      </c>
      <c r="AH126" s="1">
        <v>0.47484953703703703</v>
      </c>
      <c r="AI126" t="s">
        <v>68</v>
      </c>
      <c r="AJ126" t="s">
        <v>69</v>
      </c>
      <c r="AO126">
        <v>7</v>
      </c>
      <c r="AP126">
        <v>38.299999999999997</v>
      </c>
      <c r="AQ126">
        <v>76.8</v>
      </c>
      <c r="AR126">
        <v>1.6</v>
      </c>
      <c r="AS126">
        <v>34</v>
      </c>
      <c r="AT126">
        <v>307.2</v>
      </c>
      <c r="AY126">
        <v>2.36</v>
      </c>
      <c r="AZ126" t="s">
        <v>497</v>
      </c>
      <c r="BB126" t="s">
        <v>497</v>
      </c>
      <c r="BD126" t="s">
        <v>68</v>
      </c>
      <c r="BE126" t="s">
        <v>595</v>
      </c>
      <c r="BF126" t="s">
        <v>596</v>
      </c>
      <c r="BG126" t="s">
        <v>597</v>
      </c>
      <c r="BH126">
        <v>0</v>
      </c>
      <c r="BI126">
        <v>1</v>
      </c>
      <c r="BJ126">
        <v>2</v>
      </c>
      <c r="BK126" t="s">
        <v>598</v>
      </c>
      <c r="BL126">
        <v>8.8620000000000001</v>
      </c>
      <c r="BN126" t="s">
        <v>502</v>
      </c>
      <c r="BO126" s="1">
        <v>0.61061342592592593</v>
      </c>
      <c r="BP126" s="3">
        <f t="shared" si="10"/>
        <v>1.0177881569563656</v>
      </c>
      <c r="BQ126" s="3">
        <f t="shared" si="11"/>
        <v>0.99140027978452405</v>
      </c>
    </row>
    <row r="127" spans="1:69" hidden="1" x14ac:dyDescent="0.35">
      <c r="A127">
        <v>125</v>
      </c>
      <c r="B127">
        <v>3549</v>
      </c>
      <c r="D127">
        <v>15</v>
      </c>
      <c r="E127">
        <v>1</v>
      </c>
      <c r="G127">
        <v>16351.5</v>
      </c>
      <c r="I127" t="s">
        <v>182</v>
      </c>
      <c r="L127" t="s">
        <v>508</v>
      </c>
      <c r="M127">
        <v>8.98</v>
      </c>
      <c r="N127">
        <v>38.1</v>
      </c>
      <c r="O127">
        <v>8.3699999999999992</v>
      </c>
      <c r="P127" s="3">
        <f t="shared" si="6"/>
        <v>0.93207126948775043</v>
      </c>
      <c r="Q127">
        <v>31.1</v>
      </c>
      <c r="R127" s="3">
        <f t="shared" si="7"/>
        <v>0.81627296587926512</v>
      </c>
      <c r="S127">
        <v>260</v>
      </c>
      <c r="T127">
        <v>8.8420000000000005</v>
      </c>
      <c r="U127">
        <v>36.950000000000003</v>
      </c>
      <c r="V127">
        <v>8.3699999999999992</v>
      </c>
      <c r="W127" s="3">
        <f t="shared" si="8"/>
        <v>0.9466184121239537</v>
      </c>
      <c r="X127">
        <v>30.03</v>
      </c>
      <c r="Y127" s="3">
        <f t="shared" si="9"/>
        <v>0.81271989174560211</v>
      </c>
      <c r="Z127">
        <v>251.3</v>
      </c>
      <c r="AA127">
        <v>76.900000000000006</v>
      </c>
      <c r="AB127">
        <v>25.2</v>
      </c>
      <c r="AC127" t="s">
        <v>64</v>
      </c>
      <c r="AE127" t="s">
        <v>65</v>
      </c>
      <c r="AF127" t="s">
        <v>66</v>
      </c>
      <c r="AG127" t="s">
        <v>509</v>
      </c>
      <c r="AH127" s="1">
        <v>0.56371527777777775</v>
      </c>
      <c r="AI127" t="s">
        <v>68</v>
      </c>
      <c r="AJ127" t="s">
        <v>69</v>
      </c>
      <c r="AO127">
        <v>7.0140000000000002</v>
      </c>
      <c r="AP127">
        <v>37.975999999999999</v>
      </c>
      <c r="AQ127">
        <v>76.8</v>
      </c>
      <c r="AR127">
        <v>1.605</v>
      </c>
      <c r="AS127">
        <v>33.659999999999997</v>
      </c>
      <c r="AT127">
        <v>307.2</v>
      </c>
      <c r="AY127">
        <v>2.36</v>
      </c>
      <c r="AZ127" t="s">
        <v>510</v>
      </c>
      <c r="BB127" t="s">
        <v>510</v>
      </c>
      <c r="BD127" t="s">
        <v>68</v>
      </c>
      <c r="BE127" t="s">
        <v>599</v>
      </c>
      <c r="BF127" t="s">
        <v>600</v>
      </c>
      <c r="BG127" t="s">
        <v>601</v>
      </c>
      <c r="BH127">
        <v>0</v>
      </c>
      <c r="BI127">
        <v>0</v>
      </c>
      <c r="BJ127">
        <v>2</v>
      </c>
      <c r="BK127" t="s">
        <v>602</v>
      </c>
      <c r="BL127">
        <v>8.8620000000000001</v>
      </c>
      <c r="BN127" t="s">
        <v>502</v>
      </c>
      <c r="BO127" s="1">
        <v>0.61061342592592593</v>
      </c>
      <c r="BP127" s="3">
        <f t="shared" si="10"/>
        <v>1.0156073286586744</v>
      </c>
      <c r="BQ127" s="3">
        <f t="shared" si="11"/>
        <v>0.99564719856937101</v>
      </c>
    </row>
    <row r="128" spans="1:69" hidden="1" x14ac:dyDescent="0.35">
      <c r="A128">
        <v>126</v>
      </c>
      <c r="B128">
        <v>3554</v>
      </c>
      <c r="D128">
        <v>15</v>
      </c>
      <c r="E128">
        <v>1</v>
      </c>
      <c r="G128">
        <v>16344.9</v>
      </c>
      <c r="I128" t="s">
        <v>182</v>
      </c>
      <c r="L128" t="s">
        <v>496</v>
      </c>
      <c r="M128">
        <v>8.98</v>
      </c>
      <c r="N128">
        <v>38.1</v>
      </c>
      <c r="O128">
        <v>8.3699999999999992</v>
      </c>
      <c r="P128" s="3">
        <f t="shared" si="6"/>
        <v>0.93207126948775043</v>
      </c>
      <c r="Q128">
        <v>31.1</v>
      </c>
      <c r="R128" s="3">
        <f t="shared" si="7"/>
        <v>0.81627296587926512</v>
      </c>
      <c r="S128">
        <v>260</v>
      </c>
      <c r="T128">
        <v>8.8759999999999994</v>
      </c>
      <c r="U128">
        <v>37</v>
      </c>
      <c r="V128">
        <v>8.3680000000000003</v>
      </c>
      <c r="W128" s="3">
        <f t="shared" si="8"/>
        <v>0.94276701216764314</v>
      </c>
      <c r="X128">
        <v>29.99</v>
      </c>
      <c r="Y128" s="3">
        <f t="shared" si="9"/>
        <v>0.81054054054054048</v>
      </c>
      <c r="Z128">
        <v>250.9</v>
      </c>
      <c r="AA128">
        <v>76.400000000000006</v>
      </c>
      <c r="AB128">
        <v>24.9</v>
      </c>
      <c r="AC128" t="s">
        <v>64</v>
      </c>
      <c r="AE128" t="s">
        <v>65</v>
      </c>
      <c r="AF128" t="s">
        <v>66</v>
      </c>
      <c r="AG128" s="2">
        <v>44471</v>
      </c>
      <c r="AH128" s="1">
        <v>0.47652777777777777</v>
      </c>
      <c r="AI128" t="s">
        <v>68</v>
      </c>
      <c r="AJ128" t="s">
        <v>69</v>
      </c>
      <c r="AO128">
        <v>7</v>
      </c>
      <c r="AP128">
        <v>38</v>
      </c>
      <c r="AQ128">
        <v>76.8</v>
      </c>
      <c r="AR128">
        <v>1.6</v>
      </c>
      <c r="AS128">
        <v>34.1</v>
      </c>
      <c r="AT128">
        <v>307.2</v>
      </c>
      <c r="AY128">
        <v>2.36</v>
      </c>
      <c r="AZ128" t="s">
        <v>497</v>
      </c>
      <c r="BB128" t="s">
        <v>497</v>
      </c>
      <c r="BD128" t="s">
        <v>68</v>
      </c>
      <c r="BE128" t="s">
        <v>603</v>
      </c>
      <c r="BF128" t="s">
        <v>604</v>
      </c>
      <c r="BG128" t="s">
        <v>605</v>
      </c>
      <c r="BH128">
        <v>0</v>
      </c>
      <c r="BI128">
        <v>0</v>
      </c>
      <c r="BJ128">
        <v>1</v>
      </c>
      <c r="BK128" t="s">
        <v>606</v>
      </c>
      <c r="BL128">
        <v>8.8620000000000001</v>
      </c>
      <c r="BN128" t="s">
        <v>502</v>
      </c>
      <c r="BO128" s="1">
        <v>0.59915509259259259</v>
      </c>
      <c r="BP128" s="3">
        <f t="shared" si="10"/>
        <v>1.0114752412503509</v>
      </c>
      <c r="BQ128" s="3">
        <f t="shared" si="11"/>
        <v>0.9929773181541669</v>
      </c>
    </row>
    <row r="129" spans="1:69" hidden="1" x14ac:dyDescent="0.35">
      <c r="A129">
        <v>127</v>
      </c>
      <c r="B129">
        <v>3311</v>
      </c>
      <c r="D129">
        <v>15</v>
      </c>
      <c r="E129">
        <v>2</v>
      </c>
      <c r="G129">
        <v>16344.9</v>
      </c>
      <c r="I129" t="s">
        <v>182</v>
      </c>
      <c r="L129" t="s">
        <v>496</v>
      </c>
      <c r="M129">
        <v>9.0299999999999994</v>
      </c>
      <c r="N129">
        <v>38.6</v>
      </c>
      <c r="O129">
        <v>8.44</v>
      </c>
      <c r="P129" s="3">
        <f t="shared" si="6"/>
        <v>0.93466223698781836</v>
      </c>
      <c r="Q129">
        <v>31.4</v>
      </c>
      <c r="R129" s="3">
        <f t="shared" si="7"/>
        <v>0.81347150259067347</v>
      </c>
      <c r="S129">
        <v>265</v>
      </c>
      <c r="T129">
        <v>8.9930000000000003</v>
      </c>
      <c r="U129">
        <v>37.369999999999997</v>
      </c>
      <c r="V129">
        <v>8.5609999999999999</v>
      </c>
      <c r="W129" s="3">
        <f t="shared" si="8"/>
        <v>0.9519626376070276</v>
      </c>
      <c r="X129">
        <v>30.21</v>
      </c>
      <c r="Y129" s="3">
        <f t="shared" si="9"/>
        <v>0.80840246186780851</v>
      </c>
      <c r="Z129">
        <v>258.60000000000002</v>
      </c>
      <c r="AA129">
        <v>77</v>
      </c>
      <c r="AB129">
        <v>24.7</v>
      </c>
      <c r="AC129" t="s">
        <v>64</v>
      </c>
      <c r="AE129" t="s">
        <v>65</v>
      </c>
      <c r="AF129" t="s">
        <v>66</v>
      </c>
      <c r="AG129" s="2">
        <v>44471</v>
      </c>
      <c r="AH129" s="1">
        <v>0.48189814814814813</v>
      </c>
      <c r="AI129" t="s">
        <v>68</v>
      </c>
      <c r="AJ129" t="s">
        <v>69</v>
      </c>
      <c r="AR129">
        <v>1.8</v>
      </c>
      <c r="AS129">
        <v>34.9</v>
      </c>
      <c r="AT129">
        <v>76.8</v>
      </c>
      <c r="AY129">
        <v>2.36</v>
      </c>
      <c r="AZ129" t="s">
        <v>497</v>
      </c>
      <c r="BB129" t="s">
        <v>497</v>
      </c>
      <c r="BD129" t="s">
        <v>68</v>
      </c>
      <c r="BF129" t="s">
        <v>607</v>
      </c>
      <c r="BG129" t="s">
        <v>608</v>
      </c>
      <c r="BH129">
        <v>0</v>
      </c>
      <c r="BI129">
        <v>1</v>
      </c>
      <c r="BJ129">
        <v>2</v>
      </c>
      <c r="BK129" t="s">
        <v>609</v>
      </c>
      <c r="BL129">
        <v>8.8620000000000001</v>
      </c>
      <c r="BN129" t="s">
        <v>502</v>
      </c>
      <c r="BO129" s="1">
        <v>0.53730324074074076</v>
      </c>
      <c r="BP129" s="3">
        <f t="shared" si="10"/>
        <v>1.0185097888141539</v>
      </c>
      <c r="BQ129" s="3">
        <f t="shared" si="11"/>
        <v>0.99376863146807048</v>
      </c>
    </row>
    <row r="130" spans="1:69" hidden="1" x14ac:dyDescent="0.35">
      <c r="A130">
        <v>128</v>
      </c>
      <c r="B130">
        <v>3311</v>
      </c>
      <c r="D130">
        <v>15</v>
      </c>
      <c r="E130">
        <v>2</v>
      </c>
      <c r="G130">
        <v>16351.5</v>
      </c>
      <c r="I130" t="s">
        <v>182</v>
      </c>
      <c r="L130" t="s">
        <v>508</v>
      </c>
      <c r="M130">
        <v>9.0299999999999994</v>
      </c>
      <c r="N130">
        <v>38.6</v>
      </c>
      <c r="O130">
        <v>8.44</v>
      </c>
      <c r="P130" s="3">
        <f t="shared" si="6"/>
        <v>0.93466223698781836</v>
      </c>
      <c r="Q130">
        <v>31.4</v>
      </c>
      <c r="R130" s="3">
        <f t="shared" si="7"/>
        <v>0.81347150259067347</v>
      </c>
      <c r="S130">
        <v>265</v>
      </c>
      <c r="T130">
        <v>8.9979999999999993</v>
      </c>
      <c r="U130">
        <v>37.369999999999997</v>
      </c>
      <c r="V130">
        <v>8.5690000000000008</v>
      </c>
      <c r="W130" s="3">
        <f t="shared" si="8"/>
        <v>0.95232273838630821</v>
      </c>
      <c r="X130">
        <v>30.39</v>
      </c>
      <c r="Y130" s="3">
        <f t="shared" si="9"/>
        <v>0.81321915975381331</v>
      </c>
      <c r="Z130">
        <v>260.5</v>
      </c>
      <c r="AA130">
        <v>77.5</v>
      </c>
      <c r="AB130">
        <v>25.2</v>
      </c>
      <c r="AC130" t="s">
        <v>64</v>
      </c>
      <c r="AE130" t="s">
        <v>65</v>
      </c>
      <c r="AF130" t="s">
        <v>66</v>
      </c>
      <c r="AG130" t="s">
        <v>509</v>
      </c>
      <c r="AH130" s="1">
        <v>0.54502314814814812</v>
      </c>
      <c r="AI130" t="s">
        <v>68</v>
      </c>
      <c r="AJ130" t="s">
        <v>69</v>
      </c>
      <c r="AO130">
        <v>7.0090000000000003</v>
      </c>
      <c r="AP130">
        <v>38.389000000000003</v>
      </c>
      <c r="AQ130">
        <v>76.8</v>
      </c>
      <c r="AR130">
        <v>1.605</v>
      </c>
      <c r="AS130">
        <v>34.298000000000002</v>
      </c>
      <c r="AT130">
        <v>307.2</v>
      </c>
      <c r="AY130">
        <v>2.36</v>
      </c>
      <c r="AZ130" t="s">
        <v>510</v>
      </c>
      <c r="BB130" t="s">
        <v>510</v>
      </c>
      <c r="BD130" t="s">
        <v>68</v>
      </c>
      <c r="BE130" t="s">
        <v>610</v>
      </c>
      <c r="BF130" t="s">
        <v>611</v>
      </c>
      <c r="BG130" t="s">
        <v>612</v>
      </c>
      <c r="BH130">
        <v>0</v>
      </c>
      <c r="BI130">
        <v>0</v>
      </c>
      <c r="BJ130">
        <v>2</v>
      </c>
      <c r="BK130" t="s">
        <v>613</v>
      </c>
      <c r="BL130">
        <v>8.8620000000000001</v>
      </c>
      <c r="BN130" t="s">
        <v>502</v>
      </c>
      <c r="BO130" s="1">
        <v>0.53730324074074076</v>
      </c>
      <c r="BP130" s="3">
        <f t="shared" si="10"/>
        <v>1.0188950625152089</v>
      </c>
      <c r="BQ130" s="3">
        <f t="shared" si="11"/>
        <v>0.99968979511137579</v>
      </c>
    </row>
    <row r="131" spans="1:69" hidden="1" x14ac:dyDescent="0.35">
      <c r="A131">
        <v>129</v>
      </c>
      <c r="B131">
        <v>3547</v>
      </c>
      <c r="D131">
        <v>15</v>
      </c>
      <c r="E131">
        <v>1</v>
      </c>
      <c r="G131">
        <v>16351.5</v>
      </c>
      <c r="I131" t="s">
        <v>182</v>
      </c>
      <c r="L131" t="s">
        <v>508</v>
      </c>
      <c r="M131">
        <v>8.98</v>
      </c>
      <c r="N131">
        <v>38.1</v>
      </c>
      <c r="O131">
        <v>8.3699999999999992</v>
      </c>
      <c r="P131" s="3">
        <f t="shared" ref="P131:P194" si="12">O131/M131</f>
        <v>0.93207126948775043</v>
      </c>
      <c r="Q131">
        <v>31.1</v>
      </c>
      <c r="R131" s="3">
        <f t="shared" ref="R131:R194" si="13">Q131/N131</f>
        <v>0.81627296587926512</v>
      </c>
      <c r="S131">
        <v>260</v>
      </c>
      <c r="T131">
        <v>8.798</v>
      </c>
      <c r="U131">
        <v>36.94</v>
      </c>
      <c r="V131">
        <v>8.3480000000000008</v>
      </c>
      <c r="W131" s="3">
        <f t="shared" ref="W131:W194" si="14">V131/T131</f>
        <v>0.94885201182086842</v>
      </c>
      <c r="X131">
        <v>30.03</v>
      </c>
      <c r="Y131" s="3">
        <f t="shared" ref="Y131:Y194" si="15">X131/U131</f>
        <v>0.81293990254466708</v>
      </c>
      <c r="Z131">
        <v>250.7</v>
      </c>
      <c r="AA131">
        <v>77.2</v>
      </c>
      <c r="AB131">
        <v>25.2</v>
      </c>
      <c r="AC131" t="s">
        <v>64</v>
      </c>
      <c r="AE131" t="s">
        <v>65</v>
      </c>
      <c r="AF131" t="s">
        <v>66</v>
      </c>
      <c r="AG131" t="s">
        <v>509</v>
      </c>
      <c r="AH131" s="1">
        <v>0.55888888888888888</v>
      </c>
      <c r="AI131" t="s">
        <v>68</v>
      </c>
      <c r="AJ131" t="s">
        <v>69</v>
      </c>
      <c r="AO131">
        <v>7.0090000000000003</v>
      </c>
      <c r="AP131">
        <v>37.975999999999999</v>
      </c>
      <c r="AQ131">
        <v>76.8</v>
      </c>
      <c r="AR131">
        <v>1.605</v>
      </c>
      <c r="AS131">
        <v>33.622999999999998</v>
      </c>
      <c r="AT131">
        <v>307.2</v>
      </c>
      <c r="AY131">
        <v>2.36</v>
      </c>
      <c r="AZ131" t="s">
        <v>510</v>
      </c>
      <c r="BB131" t="s">
        <v>510</v>
      </c>
      <c r="BD131" t="s">
        <v>68</v>
      </c>
      <c r="BE131" t="s">
        <v>614</v>
      </c>
      <c r="BF131" t="s">
        <v>615</v>
      </c>
      <c r="BG131" t="s">
        <v>616</v>
      </c>
      <c r="BH131">
        <v>0</v>
      </c>
      <c r="BI131">
        <v>0</v>
      </c>
      <c r="BJ131">
        <v>1</v>
      </c>
      <c r="BK131" t="s">
        <v>617</v>
      </c>
      <c r="BL131">
        <v>8.8620000000000001</v>
      </c>
      <c r="BN131" t="s">
        <v>502</v>
      </c>
      <c r="BO131" s="1">
        <v>0.61840277777777775</v>
      </c>
      <c r="BP131" s="3">
        <f t="shared" ref="BP131:BP194" si="16">W131/P131</f>
        <v>1.0180037116070968</v>
      </c>
      <c r="BQ131" s="3">
        <f t="shared" ref="BQ131:BQ194" si="17">Y131/R131</f>
        <v>0.99591672948398113</v>
      </c>
    </row>
    <row r="132" spans="1:69" hidden="1" x14ac:dyDescent="0.35">
      <c r="A132">
        <v>130</v>
      </c>
      <c r="B132">
        <v>3551</v>
      </c>
      <c r="D132">
        <v>15</v>
      </c>
      <c r="E132">
        <v>1</v>
      </c>
      <c r="G132">
        <v>16351.5</v>
      </c>
      <c r="I132" t="s">
        <v>182</v>
      </c>
      <c r="L132" t="s">
        <v>508</v>
      </c>
      <c r="M132">
        <v>8.98</v>
      </c>
      <c r="N132">
        <v>38.1</v>
      </c>
      <c r="O132">
        <v>8.3699999999999992</v>
      </c>
      <c r="P132" s="3">
        <f t="shared" si="12"/>
        <v>0.93207126948775043</v>
      </c>
      <c r="Q132">
        <v>31.1</v>
      </c>
      <c r="R132" s="3">
        <f t="shared" si="13"/>
        <v>0.81627296587926512</v>
      </c>
      <c r="S132">
        <v>260</v>
      </c>
      <c r="T132">
        <v>8.9339999999999993</v>
      </c>
      <c r="U132">
        <v>37.07</v>
      </c>
      <c r="V132">
        <v>8.3450000000000006</v>
      </c>
      <c r="W132" s="3">
        <f t="shared" si="14"/>
        <v>0.93407208417282306</v>
      </c>
      <c r="X132">
        <v>30.27</v>
      </c>
      <c r="Y132" s="3">
        <f t="shared" si="15"/>
        <v>0.81656325869975721</v>
      </c>
      <c r="Z132">
        <v>252.6</v>
      </c>
      <c r="AA132">
        <v>76.3</v>
      </c>
      <c r="AB132">
        <v>24.7</v>
      </c>
      <c r="AC132" t="s">
        <v>64</v>
      </c>
      <c r="AE132" t="s">
        <v>65</v>
      </c>
      <c r="AF132" t="s">
        <v>66</v>
      </c>
      <c r="AG132" t="s">
        <v>509</v>
      </c>
      <c r="AH132" s="1">
        <v>0.57854166666666662</v>
      </c>
      <c r="AI132" t="s">
        <v>68</v>
      </c>
      <c r="AJ132" t="s">
        <v>69</v>
      </c>
      <c r="AO132">
        <v>7.0090000000000003</v>
      </c>
      <c r="AP132">
        <v>37.939</v>
      </c>
      <c r="AQ132">
        <v>76.8</v>
      </c>
      <c r="AR132">
        <v>1.605</v>
      </c>
      <c r="AS132">
        <v>33.734999999999999</v>
      </c>
      <c r="AT132">
        <v>307.2</v>
      </c>
      <c r="AY132">
        <v>2.36</v>
      </c>
      <c r="AZ132" t="s">
        <v>510</v>
      </c>
      <c r="BB132" t="s">
        <v>510</v>
      </c>
      <c r="BD132" t="s">
        <v>68</v>
      </c>
      <c r="BE132" t="s">
        <v>618</v>
      </c>
      <c r="BF132" t="s">
        <v>619</v>
      </c>
      <c r="BG132" t="s">
        <v>620</v>
      </c>
      <c r="BH132">
        <v>0</v>
      </c>
      <c r="BI132">
        <v>0</v>
      </c>
      <c r="BJ132">
        <v>1</v>
      </c>
      <c r="BK132" t="s">
        <v>621</v>
      </c>
      <c r="BL132">
        <v>8.8620000000000001</v>
      </c>
      <c r="BN132" t="s">
        <v>502</v>
      </c>
      <c r="BO132" s="1">
        <v>0.60495370370370372</v>
      </c>
      <c r="BP132" s="3">
        <f t="shared" si="16"/>
        <v>1.0021466327206634</v>
      </c>
      <c r="BQ132" s="3">
        <f t="shared" si="17"/>
        <v>1.0003556320405385</v>
      </c>
    </row>
    <row r="133" spans="1:69" hidden="1" x14ac:dyDescent="0.35">
      <c r="A133">
        <v>131</v>
      </c>
      <c r="B133">
        <v>4180</v>
      </c>
      <c r="D133">
        <v>15</v>
      </c>
      <c r="E133">
        <v>3</v>
      </c>
      <c r="G133">
        <v>16335</v>
      </c>
      <c r="I133" t="s">
        <v>182</v>
      </c>
      <c r="L133" t="s">
        <v>426</v>
      </c>
      <c r="M133">
        <v>9.09</v>
      </c>
      <c r="N133">
        <v>38.799999999999997</v>
      </c>
      <c r="O133">
        <v>8.52</v>
      </c>
      <c r="P133" s="3">
        <f t="shared" si="12"/>
        <v>0.93729372937293731</v>
      </c>
      <c r="Q133">
        <v>31.7</v>
      </c>
      <c r="R133" s="3">
        <f t="shared" si="13"/>
        <v>0.81701030927835061</v>
      </c>
      <c r="S133">
        <v>270</v>
      </c>
      <c r="T133">
        <v>9.1430000000000007</v>
      </c>
      <c r="U133">
        <v>37.79</v>
      </c>
      <c r="V133">
        <v>8.7029999999999994</v>
      </c>
      <c r="W133" s="3">
        <f t="shared" si="14"/>
        <v>0.95187575194137575</v>
      </c>
      <c r="X133">
        <v>30.6</v>
      </c>
      <c r="Y133" s="3">
        <f t="shared" si="15"/>
        <v>0.80973802593278654</v>
      </c>
      <c r="Z133">
        <v>266.3</v>
      </c>
      <c r="AA133">
        <v>77.099999999999994</v>
      </c>
      <c r="AB133">
        <v>25</v>
      </c>
      <c r="AC133" t="s">
        <v>64</v>
      </c>
      <c r="AE133" t="s">
        <v>65</v>
      </c>
      <c r="AF133" t="s">
        <v>66</v>
      </c>
      <c r="AG133" t="s">
        <v>427</v>
      </c>
      <c r="AH133" s="1">
        <v>0.40859953703703705</v>
      </c>
      <c r="AI133" t="s">
        <v>68</v>
      </c>
      <c r="AJ133" t="s">
        <v>69</v>
      </c>
      <c r="AO133">
        <v>7.3630000000000004</v>
      </c>
      <c r="AP133">
        <v>39.365000000000002</v>
      </c>
      <c r="AQ133">
        <v>38.4</v>
      </c>
      <c r="AR133">
        <v>1.84</v>
      </c>
      <c r="AS133">
        <v>35.161000000000001</v>
      </c>
      <c r="AT133">
        <v>204.6</v>
      </c>
      <c r="AY133">
        <v>2.36</v>
      </c>
      <c r="AZ133" t="s">
        <v>428</v>
      </c>
      <c r="BB133" t="s">
        <v>428</v>
      </c>
      <c r="BD133" t="s">
        <v>68</v>
      </c>
      <c r="BE133" t="s">
        <v>622</v>
      </c>
      <c r="BF133" t="s">
        <v>623</v>
      </c>
      <c r="BG133" t="s">
        <v>624</v>
      </c>
      <c r="BH133">
        <v>0</v>
      </c>
      <c r="BI133">
        <v>0</v>
      </c>
      <c r="BJ133">
        <v>1</v>
      </c>
      <c r="BK133" t="s">
        <v>625</v>
      </c>
      <c r="BL133">
        <v>8.8620000000000001</v>
      </c>
      <c r="BM133">
        <v>8.8620000000000001</v>
      </c>
      <c r="BN133" t="s">
        <v>425</v>
      </c>
      <c r="BO133" s="1">
        <v>0.67818287037037039</v>
      </c>
      <c r="BP133" s="3">
        <f t="shared" si="16"/>
        <v>1.0155575804163268</v>
      </c>
      <c r="BQ133" s="3">
        <f t="shared" si="17"/>
        <v>0.99109890871268502</v>
      </c>
    </row>
    <row r="134" spans="1:69" hidden="1" x14ac:dyDescent="0.35">
      <c r="A134">
        <v>132</v>
      </c>
      <c r="B134">
        <v>4188</v>
      </c>
      <c r="D134">
        <v>22</v>
      </c>
      <c r="E134">
        <v>4</v>
      </c>
      <c r="G134">
        <v>16742.7</v>
      </c>
      <c r="I134" t="s">
        <v>62</v>
      </c>
      <c r="L134" t="s">
        <v>183</v>
      </c>
      <c r="M134">
        <v>6.07</v>
      </c>
      <c r="N134">
        <v>69.7</v>
      </c>
      <c r="O134">
        <v>5.7</v>
      </c>
      <c r="P134" s="3">
        <f t="shared" si="12"/>
        <v>0.93904448105436567</v>
      </c>
      <c r="Q134">
        <v>58</v>
      </c>
      <c r="R134" s="3">
        <f t="shared" si="13"/>
        <v>0.83213773314203732</v>
      </c>
      <c r="S134">
        <v>330</v>
      </c>
      <c r="T134">
        <v>5.9809999999999999</v>
      </c>
      <c r="U134">
        <v>70.400000000000006</v>
      </c>
      <c r="V134">
        <v>5.6230000000000002</v>
      </c>
      <c r="W134" s="3">
        <f t="shared" si="14"/>
        <v>0.94014378866410309</v>
      </c>
      <c r="X134">
        <v>58.66</v>
      </c>
      <c r="Y134" s="3">
        <f t="shared" si="15"/>
        <v>0.83323863636363626</v>
      </c>
      <c r="Z134">
        <v>329.8</v>
      </c>
      <c r="AA134">
        <v>78.3</v>
      </c>
      <c r="AB134">
        <v>24.8</v>
      </c>
      <c r="AC134" t="s">
        <v>64</v>
      </c>
      <c r="AE134" t="s">
        <v>65</v>
      </c>
      <c r="AF134" t="s">
        <v>66</v>
      </c>
      <c r="AG134" t="s">
        <v>626</v>
      </c>
      <c r="AH134" s="1">
        <v>0.40833333333333333</v>
      </c>
      <c r="AI134" t="s">
        <v>68</v>
      </c>
      <c r="AJ134" t="s">
        <v>69</v>
      </c>
      <c r="AO134">
        <v>4.8209999999999997</v>
      </c>
      <c r="AP134">
        <v>73.468000000000004</v>
      </c>
      <c r="AQ134">
        <v>0.6</v>
      </c>
      <c r="AR134">
        <v>1.206</v>
      </c>
      <c r="AS134">
        <v>66.613</v>
      </c>
      <c r="AT134">
        <v>2.4</v>
      </c>
      <c r="AY134">
        <v>2.36</v>
      </c>
      <c r="AZ134" t="s">
        <v>626</v>
      </c>
      <c r="BB134" t="s">
        <v>626</v>
      </c>
      <c r="BD134" t="s">
        <v>68</v>
      </c>
      <c r="BE134" t="s">
        <v>627</v>
      </c>
      <c r="BF134" t="s">
        <v>628</v>
      </c>
      <c r="BG134" t="s">
        <v>629</v>
      </c>
      <c r="BH134">
        <v>0</v>
      </c>
      <c r="BI134">
        <v>1</v>
      </c>
      <c r="BJ134">
        <v>2</v>
      </c>
      <c r="BK134" t="s">
        <v>630</v>
      </c>
      <c r="BL134">
        <v>8.8620000000000001</v>
      </c>
      <c r="BM134">
        <v>8.8620000000000001</v>
      </c>
      <c r="BN134" t="s">
        <v>626</v>
      </c>
      <c r="BO134" s="1">
        <v>0.40833333333333333</v>
      </c>
      <c r="BP134" s="3">
        <f t="shared" si="16"/>
        <v>1.0011706661738782</v>
      </c>
      <c r="BQ134" s="3">
        <f t="shared" si="17"/>
        <v>1.0013229819749214</v>
      </c>
    </row>
    <row r="135" spans="1:69" hidden="1" x14ac:dyDescent="0.35">
      <c r="A135">
        <v>133</v>
      </c>
      <c r="B135">
        <v>4188</v>
      </c>
      <c r="D135">
        <v>22</v>
      </c>
      <c r="E135">
        <v>4</v>
      </c>
      <c r="G135">
        <v>16742.7</v>
      </c>
      <c r="I135" t="s">
        <v>62</v>
      </c>
      <c r="L135" t="s">
        <v>631</v>
      </c>
      <c r="M135">
        <v>6.07</v>
      </c>
      <c r="N135">
        <v>69.7</v>
      </c>
      <c r="O135">
        <v>5.7</v>
      </c>
      <c r="P135" s="3">
        <f t="shared" si="12"/>
        <v>0.93904448105436567</v>
      </c>
      <c r="Q135">
        <v>58</v>
      </c>
      <c r="R135" s="3">
        <f t="shared" si="13"/>
        <v>0.83213773314203732</v>
      </c>
      <c r="S135">
        <v>330</v>
      </c>
      <c r="T135">
        <v>5.9989999999999997</v>
      </c>
      <c r="U135">
        <v>69.87</v>
      </c>
      <c r="V135">
        <v>5.6479999999999997</v>
      </c>
      <c r="W135" s="3">
        <f t="shared" si="14"/>
        <v>0.94149024837472917</v>
      </c>
      <c r="X135">
        <v>58.05</v>
      </c>
      <c r="Y135" s="3">
        <f t="shared" si="15"/>
        <v>0.83082868183769853</v>
      </c>
      <c r="Z135">
        <v>327.9</v>
      </c>
      <c r="AA135">
        <v>78.2</v>
      </c>
      <c r="AB135">
        <v>24.8</v>
      </c>
      <c r="AC135" t="s">
        <v>64</v>
      </c>
      <c r="AE135" t="s">
        <v>65</v>
      </c>
      <c r="AF135" t="s">
        <v>66</v>
      </c>
      <c r="AG135" s="2">
        <v>44198</v>
      </c>
      <c r="AH135" s="1">
        <v>0.68061342592592589</v>
      </c>
      <c r="AI135" t="s">
        <v>68</v>
      </c>
      <c r="AJ135" t="s">
        <v>69</v>
      </c>
      <c r="AO135">
        <v>4.8159999999999998</v>
      </c>
      <c r="AP135">
        <v>72.016999999999996</v>
      </c>
      <c r="AQ135">
        <v>0.6</v>
      </c>
      <c r="AR135">
        <v>1.206</v>
      </c>
      <c r="AS135">
        <v>65.936999999999998</v>
      </c>
      <c r="AT135">
        <v>2.4</v>
      </c>
      <c r="AY135">
        <v>2.36</v>
      </c>
      <c r="AZ135" s="2">
        <v>44229</v>
      </c>
      <c r="BB135" s="2">
        <v>44229</v>
      </c>
      <c r="BD135" t="s">
        <v>68</v>
      </c>
      <c r="BE135" t="s">
        <v>632</v>
      </c>
      <c r="BF135" t="s">
        <v>633</v>
      </c>
      <c r="BG135" t="s">
        <v>634</v>
      </c>
      <c r="BH135">
        <v>0</v>
      </c>
      <c r="BI135">
        <v>0</v>
      </c>
      <c r="BJ135">
        <v>2</v>
      </c>
      <c r="BK135" t="s">
        <v>635</v>
      </c>
      <c r="BL135">
        <v>8.8620000000000001</v>
      </c>
      <c r="BM135">
        <v>8.8620000000000001</v>
      </c>
      <c r="BN135" t="s">
        <v>626</v>
      </c>
      <c r="BO135" s="1">
        <v>0.40833333333333333</v>
      </c>
      <c r="BP135" s="3">
        <f t="shared" si="16"/>
        <v>1.002604527655194</v>
      </c>
      <c r="BQ135" s="3">
        <f t="shared" si="17"/>
        <v>0.99842688144978597</v>
      </c>
    </row>
    <row r="136" spans="1:69" hidden="1" x14ac:dyDescent="0.35">
      <c r="A136">
        <v>134</v>
      </c>
      <c r="B136">
        <v>4190</v>
      </c>
      <c r="D136">
        <v>22</v>
      </c>
      <c r="E136">
        <v>4</v>
      </c>
      <c r="G136">
        <v>16742.7</v>
      </c>
      <c r="I136" t="s">
        <v>62</v>
      </c>
      <c r="L136" t="s">
        <v>183</v>
      </c>
      <c r="M136">
        <v>6.07</v>
      </c>
      <c r="N136">
        <v>69.7</v>
      </c>
      <c r="O136">
        <v>5.7</v>
      </c>
      <c r="P136" s="3">
        <f t="shared" si="12"/>
        <v>0.93904448105436567</v>
      </c>
      <c r="Q136">
        <v>58</v>
      </c>
      <c r="R136" s="3">
        <f t="shared" si="13"/>
        <v>0.83213773314203732</v>
      </c>
      <c r="S136">
        <v>330</v>
      </c>
      <c r="T136">
        <v>5.9969999999999999</v>
      </c>
      <c r="U136">
        <v>70.53</v>
      </c>
      <c r="V136">
        <v>5.6180000000000003</v>
      </c>
      <c r="W136" s="3">
        <f t="shared" si="14"/>
        <v>0.93680173420043367</v>
      </c>
      <c r="X136">
        <v>58.62</v>
      </c>
      <c r="Y136" s="3">
        <f t="shared" si="15"/>
        <v>0.8311356869417269</v>
      </c>
      <c r="Z136">
        <v>329.4</v>
      </c>
      <c r="AA136">
        <v>77.900000000000006</v>
      </c>
      <c r="AB136">
        <v>25.3</v>
      </c>
      <c r="AC136" t="s">
        <v>64</v>
      </c>
      <c r="AE136" t="s">
        <v>65</v>
      </c>
      <c r="AF136" t="s">
        <v>66</v>
      </c>
      <c r="AG136" t="s">
        <v>626</v>
      </c>
      <c r="AH136" s="1">
        <v>0.41425925925925927</v>
      </c>
      <c r="AI136" t="s">
        <v>68</v>
      </c>
      <c r="AJ136" t="s">
        <v>69</v>
      </c>
      <c r="AO136">
        <v>4.8209999999999997</v>
      </c>
      <c r="AP136">
        <v>73.218000000000004</v>
      </c>
      <c r="AQ136">
        <v>0.6</v>
      </c>
      <c r="AR136">
        <v>1.206</v>
      </c>
      <c r="AS136">
        <v>67.212999999999994</v>
      </c>
      <c r="AT136">
        <v>2.4</v>
      </c>
      <c r="AY136">
        <v>2.36</v>
      </c>
      <c r="AZ136" t="s">
        <v>626</v>
      </c>
      <c r="BB136" t="s">
        <v>626</v>
      </c>
      <c r="BD136" t="s">
        <v>68</v>
      </c>
      <c r="BE136" t="s">
        <v>636</v>
      </c>
      <c r="BF136" t="s">
        <v>637</v>
      </c>
      <c r="BG136" t="s">
        <v>638</v>
      </c>
      <c r="BH136">
        <v>0</v>
      </c>
      <c r="BI136">
        <v>0</v>
      </c>
      <c r="BJ136">
        <v>1</v>
      </c>
      <c r="BK136" t="s">
        <v>639</v>
      </c>
      <c r="BL136">
        <v>8.8620000000000001</v>
      </c>
      <c r="BM136">
        <v>8.8620000000000001</v>
      </c>
      <c r="BN136" t="s">
        <v>626</v>
      </c>
      <c r="BO136" s="1">
        <v>0.41425925925925927</v>
      </c>
      <c r="BP136" s="3">
        <f t="shared" si="16"/>
        <v>0.99761167133274264</v>
      </c>
      <c r="BQ136" s="3">
        <f t="shared" si="17"/>
        <v>0.99879581689376495</v>
      </c>
    </row>
    <row r="137" spans="1:69" hidden="1" x14ac:dyDescent="0.35">
      <c r="A137">
        <v>135</v>
      </c>
      <c r="B137">
        <v>4194</v>
      </c>
      <c r="D137">
        <v>22</v>
      </c>
      <c r="E137">
        <v>4</v>
      </c>
      <c r="G137">
        <v>16742.7</v>
      </c>
      <c r="I137" t="s">
        <v>62</v>
      </c>
      <c r="L137" t="s">
        <v>183</v>
      </c>
      <c r="M137">
        <v>6.07</v>
      </c>
      <c r="N137">
        <v>69.7</v>
      </c>
      <c r="O137">
        <v>5.7</v>
      </c>
      <c r="P137" s="3">
        <f t="shared" si="12"/>
        <v>0.93904448105436567</v>
      </c>
      <c r="Q137">
        <v>58</v>
      </c>
      <c r="R137" s="3">
        <f t="shared" si="13"/>
        <v>0.83213773314203732</v>
      </c>
      <c r="S137">
        <v>330</v>
      </c>
      <c r="T137">
        <v>6.0019999999999998</v>
      </c>
      <c r="U137">
        <v>70.599999999999994</v>
      </c>
      <c r="V137">
        <v>5.6210000000000004</v>
      </c>
      <c r="W137" s="3">
        <f t="shared" si="14"/>
        <v>0.93652115961346227</v>
      </c>
      <c r="X137">
        <v>58.64</v>
      </c>
      <c r="Y137" s="3">
        <f t="shared" si="15"/>
        <v>0.83059490084985843</v>
      </c>
      <c r="Z137">
        <v>329.6</v>
      </c>
      <c r="AA137">
        <v>77.8</v>
      </c>
      <c r="AB137">
        <v>24.9</v>
      </c>
      <c r="AC137" t="s">
        <v>64</v>
      </c>
      <c r="AE137" t="s">
        <v>65</v>
      </c>
      <c r="AF137" t="s">
        <v>66</v>
      </c>
      <c r="AG137" t="s">
        <v>626</v>
      </c>
      <c r="AH137" s="1">
        <v>0.44935185185185184</v>
      </c>
      <c r="AI137" t="s">
        <v>68</v>
      </c>
      <c r="AJ137" t="s">
        <v>69</v>
      </c>
      <c r="AO137">
        <v>4.8209999999999997</v>
      </c>
      <c r="AP137">
        <v>73.067999999999998</v>
      </c>
      <c r="AQ137">
        <v>0.8</v>
      </c>
      <c r="AR137">
        <v>1.206</v>
      </c>
      <c r="AS137">
        <v>67.025000000000006</v>
      </c>
      <c r="AT137">
        <v>2.4</v>
      </c>
      <c r="AY137">
        <v>2.36</v>
      </c>
      <c r="AZ137" t="s">
        <v>626</v>
      </c>
      <c r="BB137" t="s">
        <v>626</v>
      </c>
      <c r="BD137" t="s">
        <v>68</v>
      </c>
      <c r="BE137" t="s">
        <v>640</v>
      </c>
      <c r="BF137" t="s">
        <v>641</v>
      </c>
      <c r="BG137" t="s">
        <v>642</v>
      </c>
      <c r="BH137">
        <v>0</v>
      </c>
      <c r="BI137">
        <v>1</v>
      </c>
      <c r="BJ137">
        <v>2</v>
      </c>
      <c r="BK137" t="s">
        <v>643</v>
      </c>
      <c r="BL137">
        <v>8.8620000000000001</v>
      </c>
      <c r="BM137">
        <v>8.8620000000000001</v>
      </c>
      <c r="BN137" t="s">
        <v>626</v>
      </c>
      <c r="BO137" s="1">
        <v>0.44935185185185184</v>
      </c>
      <c r="BP137" s="3">
        <f t="shared" si="16"/>
        <v>0.99731288400942397</v>
      </c>
      <c r="BQ137" s="3">
        <f t="shared" si="17"/>
        <v>0.99814594119370914</v>
      </c>
    </row>
    <row r="138" spans="1:69" hidden="1" x14ac:dyDescent="0.35">
      <c r="A138">
        <v>136</v>
      </c>
      <c r="B138">
        <v>4194</v>
      </c>
      <c r="D138">
        <v>22</v>
      </c>
      <c r="E138">
        <v>4</v>
      </c>
      <c r="G138">
        <v>16742.7</v>
      </c>
      <c r="I138" t="s">
        <v>62</v>
      </c>
      <c r="L138" t="s">
        <v>631</v>
      </c>
      <c r="M138">
        <v>6.07</v>
      </c>
      <c r="N138">
        <v>69.7</v>
      </c>
      <c r="O138">
        <v>5.7</v>
      </c>
      <c r="P138" s="3">
        <f t="shared" si="12"/>
        <v>0.93904448105436567</v>
      </c>
      <c r="Q138">
        <v>58</v>
      </c>
      <c r="R138" s="3">
        <f t="shared" si="13"/>
        <v>0.83213773314203732</v>
      </c>
      <c r="S138">
        <v>330</v>
      </c>
      <c r="T138">
        <v>6.0129999999999999</v>
      </c>
      <c r="U138">
        <v>70.08</v>
      </c>
      <c r="V138">
        <v>5.65</v>
      </c>
      <c r="W138" s="3">
        <f t="shared" si="14"/>
        <v>0.93963079993347753</v>
      </c>
      <c r="X138">
        <v>58.08</v>
      </c>
      <c r="Y138" s="3">
        <f t="shared" si="15"/>
        <v>0.82876712328767121</v>
      </c>
      <c r="Z138">
        <v>328.2</v>
      </c>
      <c r="AA138">
        <v>77.900000000000006</v>
      </c>
      <c r="AB138">
        <v>25.1</v>
      </c>
      <c r="AC138" t="s">
        <v>64</v>
      </c>
      <c r="AE138" t="s">
        <v>65</v>
      </c>
      <c r="AF138" t="s">
        <v>66</v>
      </c>
      <c r="AG138" s="2">
        <v>44198</v>
      </c>
      <c r="AH138" s="1">
        <v>0.67515046296296299</v>
      </c>
      <c r="AI138" t="s">
        <v>68</v>
      </c>
      <c r="AJ138" t="s">
        <v>69</v>
      </c>
      <c r="AO138">
        <v>4.8159999999999998</v>
      </c>
      <c r="AP138">
        <v>72.242000000000004</v>
      </c>
      <c r="AQ138">
        <v>0.6</v>
      </c>
      <c r="AR138">
        <v>1.206</v>
      </c>
      <c r="AS138">
        <v>66.311999999999998</v>
      </c>
      <c r="AT138">
        <v>2.4</v>
      </c>
      <c r="AY138">
        <v>2.36</v>
      </c>
      <c r="AZ138" s="2">
        <v>44229</v>
      </c>
      <c r="BB138" s="2">
        <v>44229</v>
      </c>
      <c r="BD138" t="s">
        <v>68</v>
      </c>
      <c r="BE138" t="s">
        <v>644</v>
      </c>
      <c r="BF138" t="s">
        <v>645</v>
      </c>
      <c r="BG138" t="s">
        <v>646</v>
      </c>
      <c r="BH138">
        <v>0</v>
      </c>
      <c r="BI138">
        <v>0</v>
      </c>
      <c r="BJ138">
        <v>2</v>
      </c>
      <c r="BK138" t="s">
        <v>647</v>
      </c>
      <c r="BL138">
        <v>8.8620000000000001</v>
      </c>
      <c r="BM138">
        <v>8.8620000000000001</v>
      </c>
      <c r="BN138" t="s">
        <v>626</v>
      </c>
      <c r="BO138" s="1">
        <v>0.44935185185185184</v>
      </c>
      <c r="BP138" s="3">
        <f t="shared" si="16"/>
        <v>1.0006243781747735</v>
      </c>
      <c r="BQ138" s="3">
        <f t="shared" si="17"/>
        <v>0.99594945677846003</v>
      </c>
    </row>
    <row r="139" spans="1:69" hidden="1" x14ac:dyDescent="0.35">
      <c r="A139">
        <v>137</v>
      </c>
      <c r="B139">
        <v>4186</v>
      </c>
      <c r="D139">
        <v>22</v>
      </c>
      <c r="E139">
        <v>4</v>
      </c>
      <c r="G139">
        <v>16742.7</v>
      </c>
      <c r="I139" t="s">
        <v>62</v>
      </c>
      <c r="L139" t="s">
        <v>183</v>
      </c>
      <c r="M139">
        <v>6.07</v>
      </c>
      <c r="N139">
        <v>69.7</v>
      </c>
      <c r="O139">
        <v>5.7</v>
      </c>
      <c r="P139" s="3">
        <f t="shared" si="12"/>
        <v>0.93904448105436567</v>
      </c>
      <c r="Q139">
        <v>58</v>
      </c>
      <c r="R139" s="3">
        <f t="shared" si="13"/>
        <v>0.83213773314203732</v>
      </c>
      <c r="S139">
        <v>330</v>
      </c>
      <c r="T139">
        <v>6.0060000000000002</v>
      </c>
      <c r="U139">
        <v>70.47</v>
      </c>
      <c r="V139">
        <v>5.625</v>
      </c>
      <c r="W139" s="3">
        <f t="shared" si="14"/>
        <v>0.93656343656343655</v>
      </c>
      <c r="X139">
        <v>58.63</v>
      </c>
      <c r="Y139" s="3">
        <f t="shared" si="15"/>
        <v>0.8319852419469278</v>
      </c>
      <c r="Z139">
        <v>329.8</v>
      </c>
      <c r="AA139">
        <v>77.900000000000006</v>
      </c>
      <c r="AB139">
        <v>25</v>
      </c>
      <c r="AC139" t="s">
        <v>64</v>
      </c>
      <c r="AE139" t="s">
        <v>65</v>
      </c>
      <c r="AF139" t="s">
        <v>66</v>
      </c>
      <c r="AG139" t="s">
        <v>626</v>
      </c>
      <c r="AH139" s="1">
        <v>0.40386574074074072</v>
      </c>
      <c r="AI139" t="s">
        <v>68</v>
      </c>
      <c r="AJ139" t="s">
        <v>69</v>
      </c>
      <c r="AO139">
        <v>4.8209999999999997</v>
      </c>
      <c r="AP139">
        <v>73.067999999999998</v>
      </c>
      <c r="AQ139">
        <v>0.6</v>
      </c>
      <c r="AR139">
        <v>1.206</v>
      </c>
      <c r="AS139">
        <v>67.100999999999999</v>
      </c>
      <c r="AT139">
        <v>2.4</v>
      </c>
      <c r="AY139">
        <v>2.36</v>
      </c>
      <c r="AZ139" t="s">
        <v>626</v>
      </c>
      <c r="BB139" t="s">
        <v>626</v>
      </c>
      <c r="BD139" t="s">
        <v>68</v>
      </c>
      <c r="BE139" t="s">
        <v>648</v>
      </c>
      <c r="BF139" t="s">
        <v>649</v>
      </c>
      <c r="BG139" t="s">
        <v>650</v>
      </c>
      <c r="BH139">
        <v>0</v>
      </c>
      <c r="BI139">
        <v>1</v>
      </c>
      <c r="BJ139">
        <v>2</v>
      </c>
      <c r="BK139" t="s">
        <v>651</v>
      </c>
      <c r="BL139">
        <v>8.8620000000000001</v>
      </c>
      <c r="BM139">
        <v>8.8620000000000001</v>
      </c>
      <c r="BN139" t="s">
        <v>626</v>
      </c>
      <c r="BO139" s="1">
        <v>0.40386574074074072</v>
      </c>
      <c r="BP139" s="3">
        <f t="shared" si="16"/>
        <v>0.99735790525264212</v>
      </c>
      <c r="BQ139" s="3">
        <f t="shared" si="17"/>
        <v>0.99981674765001494</v>
      </c>
    </row>
    <row r="140" spans="1:69" hidden="1" x14ac:dyDescent="0.35">
      <c r="A140">
        <v>138</v>
      </c>
      <c r="B140">
        <v>4186</v>
      </c>
      <c r="D140">
        <v>22</v>
      </c>
      <c r="E140">
        <v>4</v>
      </c>
      <c r="G140">
        <v>16742.7</v>
      </c>
      <c r="I140" t="s">
        <v>62</v>
      </c>
      <c r="L140" t="s">
        <v>631</v>
      </c>
      <c r="M140">
        <v>6.07</v>
      </c>
      <c r="N140">
        <v>69.7</v>
      </c>
      <c r="O140">
        <v>5.7</v>
      </c>
      <c r="P140" s="3">
        <f t="shared" si="12"/>
        <v>0.93904448105436567</v>
      </c>
      <c r="Q140">
        <v>58</v>
      </c>
      <c r="R140" s="3">
        <f t="shared" si="13"/>
        <v>0.83213773314203732</v>
      </c>
      <c r="S140">
        <v>330</v>
      </c>
      <c r="T140">
        <v>6.0179999999999998</v>
      </c>
      <c r="U140">
        <v>70.03</v>
      </c>
      <c r="V140">
        <v>5.6479999999999997</v>
      </c>
      <c r="W140" s="3">
        <f t="shared" si="14"/>
        <v>0.93851777999335328</v>
      </c>
      <c r="X140">
        <v>58.11</v>
      </c>
      <c r="Y140" s="3">
        <f t="shared" si="15"/>
        <v>0.82978723404255317</v>
      </c>
      <c r="Z140">
        <v>328.2</v>
      </c>
      <c r="AA140">
        <v>77.900000000000006</v>
      </c>
      <c r="AB140">
        <v>24.9</v>
      </c>
      <c r="AC140" t="s">
        <v>64</v>
      </c>
      <c r="AE140" t="s">
        <v>65</v>
      </c>
      <c r="AF140" t="s">
        <v>66</v>
      </c>
      <c r="AG140" s="2">
        <v>44198</v>
      </c>
      <c r="AH140" s="1">
        <v>0.68125000000000002</v>
      </c>
      <c r="AI140" t="s">
        <v>68</v>
      </c>
      <c r="AJ140" t="s">
        <v>69</v>
      </c>
      <c r="AO140">
        <v>4.8159999999999998</v>
      </c>
      <c r="AP140">
        <v>72.167000000000002</v>
      </c>
      <c r="AQ140">
        <v>0.6</v>
      </c>
      <c r="AR140">
        <v>1.206</v>
      </c>
      <c r="AS140">
        <v>66.349999999999994</v>
      </c>
      <c r="AT140">
        <v>2.4</v>
      </c>
      <c r="AY140">
        <v>2.36</v>
      </c>
      <c r="AZ140" s="2">
        <v>44229</v>
      </c>
      <c r="BB140" s="2">
        <v>44229</v>
      </c>
      <c r="BD140" t="s">
        <v>68</v>
      </c>
      <c r="BE140" t="s">
        <v>652</v>
      </c>
      <c r="BF140" t="s">
        <v>653</v>
      </c>
      <c r="BG140" t="s">
        <v>654</v>
      </c>
      <c r="BH140">
        <v>0</v>
      </c>
      <c r="BI140">
        <v>0</v>
      </c>
      <c r="BJ140">
        <v>2</v>
      </c>
      <c r="BK140" t="s">
        <v>655</v>
      </c>
      <c r="BL140">
        <v>8.8620000000000001</v>
      </c>
      <c r="BM140">
        <v>8.8620000000000001</v>
      </c>
      <c r="BN140" t="s">
        <v>626</v>
      </c>
      <c r="BO140" s="1">
        <v>0.40386574074074072</v>
      </c>
      <c r="BP140" s="3">
        <f t="shared" si="16"/>
        <v>0.99943910957186932</v>
      </c>
      <c r="BQ140" s="3">
        <f t="shared" si="17"/>
        <v>0.99717534849596479</v>
      </c>
    </row>
    <row r="141" spans="1:69" hidden="1" x14ac:dyDescent="0.35">
      <c r="A141">
        <v>139</v>
      </c>
      <c r="B141">
        <v>4185</v>
      </c>
      <c r="D141">
        <v>22</v>
      </c>
      <c r="E141">
        <v>4</v>
      </c>
      <c r="G141">
        <v>16742.7</v>
      </c>
      <c r="I141" t="s">
        <v>62</v>
      </c>
      <c r="L141" t="s">
        <v>183</v>
      </c>
      <c r="M141">
        <v>6.07</v>
      </c>
      <c r="N141">
        <v>69.7</v>
      </c>
      <c r="O141">
        <v>5.7</v>
      </c>
      <c r="P141" s="3">
        <f t="shared" si="12"/>
        <v>0.93904448105436567</v>
      </c>
      <c r="Q141">
        <v>58</v>
      </c>
      <c r="R141" s="3">
        <f t="shared" si="13"/>
        <v>0.83213773314203732</v>
      </c>
      <c r="S141">
        <v>330</v>
      </c>
      <c r="T141">
        <v>6.0060000000000002</v>
      </c>
      <c r="U141">
        <v>70.58</v>
      </c>
      <c r="V141">
        <v>5.6219999999999999</v>
      </c>
      <c r="W141" s="3">
        <f t="shared" si="14"/>
        <v>0.93606393606393601</v>
      </c>
      <c r="X141">
        <v>58.65</v>
      </c>
      <c r="Y141" s="3">
        <f t="shared" si="15"/>
        <v>0.83097194672711816</v>
      </c>
      <c r="Z141">
        <v>329.8</v>
      </c>
      <c r="AA141">
        <v>77.8</v>
      </c>
      <c r="AB141">
        <v>25.3</v>
      </c>
      <c r="AC141" t="s">
        <v>64</v>
      </c>
      <c r="AE141" t="s">
        <v>65</v>
      </c>
      <c r="AF141" t="s">
        <v>66</v>
      </c>
      <c r="AG141" t="s">
        <v>626</v>
      </c>
      <c r="AH141" s="1">
        <v>0.39520833333333333</v>
      </c>
      <c r="AI141" t="s">
        <v>68</v>
      </c>
      <c r="AJ141" t="s">
        <v>69</v>
      </c>
      <c r="AO141">
        <v>4.8209999999999997</v>
      </c>
      <c r="AP141">
        <v>73.218000000000004</v>
      </c>
      <c r="AQ141">
        <v>0.6</v>
      </c>
      <c r="AR141">
        <v>1.2110000000000001</v>
      </c>
      <c r="AS141">
        <v>67.287999999999997</v>
      </c>
      <c r="AT141">
        <v>2.4</v>
      </c>
      <c r="AY141">
        <v>2.36</v>
      </c>
      <c r="AZ141" t="s">
        <v>626</v>
      </c>
      <c r="BB141" t="s">
        <v>626</v>
      </c>
      <c r="BD141" t="s">
        <v>68</v>
      </c>
      <c r="BE141" t="s">
        <v>656</v>
      </c>
      <c r="BF141" t="s">
        <v>657</v>
      </c>
      <c r="BG141" t="s">
        <v>658</v>
      </c>
      <c r="BH141">
        <v>0</v>
      </c>
      <c r="BI141">
        <v>1</v>
      </c>
      <c r="BJ141">
        <v>2</v>
      </c>
      <c r="BK141" t="s">
        <v>659</v>
      </c>
      <c r="BL141">
        <v>8.8620000000000001</v>
      </c>
      <c r="BM141">
        <v>8.8620000000000001</v>
      </c>
      <c r="BN141" t="s">
        <v>626</v>
      </c>
      <c r="BO141" s="1">
        <v>0.39520833333333333</v>
      </c>
      <c r="BP141" s="3">
        <f t="shared" si="16"/>
        <v>0.99682598103650732</v>
      </c>
      <c r="BQ141" s="3">
        <f t="shared" si="17"/>
        <v>0.99859904632551955</v>
      </c>
    </row>
    <row r="142" spans="1:69" hidden="1" x14ac:dyDescent="0.35">
      <c r="A142">
        <v>140</v>
      </c>
      <c r="B142">
        <v>4185</v>
      </c>
      <c r="D142">
        <v>22</v>
      </c>
      <c r="E142">
        <v>4</v>
      </c>
      <c r="G142">
        <v>16742.7</v>
      </c>
      <c r="I142" t="s">
        <v>62</v>
      </c>
      <c r="L142" t="s">
        <v>631</v>
      </c>
      <c r="M142">
        <v>6.07</v>
      </c>
      <c r="N142">
        <v>69.7</v>
      </c>
      <c r="O142">
        <v>5.7</v>
      </c>
      <c r="P142" s="3">
        <f t="shared" si="12"/>
        <v>0.93904448105436567</v>
      </c>
      <c r="Q142">
        <v>58</v>
      </c>
      <c r="R142" s="3">
        <f t="shared" si="13"/>
        <v>0.83213773314203732</v>
      </c>
      <c r="S142">
        <v>330</v>
      </c>
      <c r="T142">
        <v>6.0179999999999998</v>
      </c>
      <c r="U142">
        <v>70.12</v>
      </c>
      <c r="V142">
        <v>5.6520000000000001</v>
      </c>
      <c r="W142" s="3">
        <f t="shared" si="14"/>
        <v>0.93918245264207378</v>
      </c>
      <c r="X142">
        <v>58.12</v>
      </c>
      <c r="Y142" s="3">
        <f t="shared" si="15"/>
        <v>0.8288648031945236</v>
      </c>
      <c r="Z142">
        <v>328.5</v>
      </c>
      <c r="AA142">
        <v>77.8</v>
      </c>
      <c r="AB142">
        <v>25</v>
      </c>
      <c r="AC142" t="s">
        <v>64</v>
      </c>
      <c r="AE142" t="s">
        <v>65</v>
      </c>
      <c r="AF142" t="s">
        <v>66</v>
      </c>
      <c r="AG142" s="2">
        <v>44198</v>
      </c>
      <c r="AH142" s="1">
        <v>0.67634259259259255</v>
      </c>
      <c r="AI142" t="s">
        <v>68</v>
      </c>
      <c r="AJ142" t="s">
        <v>69</v>
      </c>
      <c r="AO142">
        <v>4.8109999999999999</v>
      </c>
      <c r="AP142">
        <v>72.430000000000007</v>
      </c>
      <c r="AQ142">
        <v>0.6</v>
      </c>
      <c r="AR142">
        <v>1.206</v>
      </c>
      <c r="AS142">
        <v>66.424999999999997</v>
      </c>
      <c r="AT142">
        <v>2.4</v>
      </c>
      <c r="AY142">
        <v>2.36</v>
      </c>
      <c r="AZ142" s="2">
        <v>44229</v>
      </c>
      <c r="BB142" s="2">
        <v>44229</v>
      </c>
      <c r="BD142" t="s">
        <v>68</v>
      </c>
      <c r="BE142" t="s">
        <v>660</v>
      </c>
      <c r="BF142" t="s">
        <v>661</v>
      </c>
      <c r="BG142" t="s">
        <v>662</v>
      </c>
      <c r="BH142">
        <v>0</v>
      </c>
      <c r="BI142">
        <v>0</v>
      </c>
      <c r="BJ142">
        <v>2</v>
      </c>
      <c r="BK142" t="s">
        <v>663</v>
      </c>
      <c r="BL142">
        <v>8.8620000000000001</v>
      </c>
      <c r="BM142">
        <v>8.8620000000000001</v>
      </c>
      <c r="BN142" t="s">
        <v>626</v>
      </c>
      <c r="BO142" s="1">
        <v>0.39520833333333333</v>
      </c>
      <c r="BP142" s="3">
        <f t="shared" si="16"/>
        <v>1.0001469276381383</v>
      </c>
      <c r="BQ142" s="3">
        <f t="shared" si="17"/>
        <v>0.9960668410803154</v>
      </c>
    </row>
    <row r="143" spans="1:69" hidden="1" x14ac:dyDescent="0.35">
      <c r="A143">
        <v>141</v>
      </c>
      <c r="B143">
        <v>4189</v>
      </c>
      <c r="D143">
        <v>22</v>
      </c>
      <c r="E143">
        <v>4</v>
      </c>
      <c r="G143">
        <v>16742.7</v>
      </c>
      <c r="I143" t="s">
        <v>62</v>
      </c>
      <c r="L143" t="s">
        <v>183</v>
      </c>
      <c r="M143">
        <v>6.07</v>
      </c>
      <c r="N143">
        <v>69.7</v>
      </c>
      <c r="O143">
        <v>5.7</v>
      </c>
      <c r="P143" s="3">
        <f t="shared" si="12"/>
        <v>0.93904448105436567</v>
      </c>
      <c r="Q143">
        <v>58</v>
      </c>
      <c r="R143" s="3">
        <f t="shared" si="13"/>
        <v>0.83213773314203732</v>
      </c>
      <c r="S143">
        <v>330</v>
      </c>
      <c r="T143">
        <v>6</v>
      </c>
      <c r="U143">
        <v>70.34</v>
      </c>
      <c r="V143">
        <v>5.62</v>
      </c>
      <c r="W143" s="3">
        <f t="shared" si="14"/>
        <v>0.93666666666666665</v>
      </c>
      <c r="X143">
        <v>58.48</v>
      </c>
      <c r="Y143" s="3">
        <f t="shared" si="15"/>
        <v>0.83139038953653677</v>
      </c>
      <c r="Z143">
        <v>328.6</v>
      </c>
      <c r="AA143">
        <v>77.900000000000006</v>
      </c>
      <c r="AB143">
        <v>25.1</v>
      </c>
      <c r="AC143" t="s">
        <v>64</v>
      </c>
      <c r="AE143" t="s">
        <v>65</v>
      </c>
      <c r="AF143" t="s">
        <v>66</v>
      </c>
      <c r="AG143" t="s">
        <v>626</v>
      </c>
      <c r="AH143" s="1">
        <v>0.41064814814814815</v>
      </c>
      <c r="AI143" t="s">
        <v>68</v>
      </c>
      <c r="AJ143" t="s">
        <v>69</v>
      </c>
      <c r="AO143">
        <v>4.8109999999999999</v>
      </c>
      <c r="AP143">
        <v>72.843000000000004</v>
      </c>
      <c r="AQ143">
        <v>0.6</v>
      </c>
      <c r="AR143">
        <v>1.206</v>
      </c>
      <c r="AS143">
        <v>66.875</v>
      </c>
      <c r="AT143">
        <v>2.4</v>
      </c>
      <c r="AY143">
        <v>2.36</v>
      </c>
      <c r="AZ143" t="s">
        <v>626</v>
      </c>
      <c r="BB143" t="s">
        <v>626</v>
      </c>
      <c r="BD143" t="s">
        <v>68</v>
      </c>
      <c r="BE143" t="s">
        <v>664</v>
      </c>
      <c r="BF143" t="s">
        <v>665</v>
      </c>
      <c r="BG143" t="s">
        <v>666</v>
      </c>
      <c r="BH143">
        <v>0</v>
      </c>
      <c r="BI143">
        <v>1</v>
      </c>
      <c r="BJ143">
        <v>2</v>
      </c>
      <c r="BK143" t="s">
        <v>667</v>
      </c>
      <c r="BL143">
        <v>8.8620000000000001</v>
      </c>
      <c r="BM143">
        <v>8.8620000000000001</v>
      </c>
      <c r="BN143" t="s">
        <v>626</v>
      </c>
      <c r="BO143" s="1">
        <v>0.41064814814814815</v>
      </c>
      <c r="BP143" s="3">
        <f t="shared" si="16"/>
        <v>0.99746783625730995</v>
      </c>
      <c r="BQ143" s="3">
        <f t="shared" si="17"/>
        <v>0.99910189914994163</v>
      </c>
    </row>
    <row r="144" spans="1:69" hidden="1" x14ac:dyDescent="0.35">
      <c r="A144">
        <v>142</v>
      </c>
      <c r="B144">
        <v>4189</v>
      </c>
      <c r="D144">
        <v>22</v>
      </c>
      <c r="E144">
        <v>4</v>
      </c>
      <c r="G144">
        <v>16742.7</v>
      </c>
      <c r="I144" t="s">
        <v>62</v>
      </c>
      <c r="L144" t="s">
        <v>631</v>
      </c>
      <c r="M144">
        <v>6.07</v>
      </c>
      <c r="N144">
        <v>69.7</v>
      </c>
      <c r="O144">
        <v>5.7</v>
      </c>
      <c r="P144" s="3">
        <f t="shared" si="12"/>
        <v>0.93904448105436567</v>
      </c>
      <c r="Q144">
        <v>58</v>
      </c>
      <c r="R144" s="3">
        <f t="shared" si="13"/>
        <v>0.83213773314203732</v>
      </c>
      <c r="S144">
        <v>330</v>
      </c>
      <c r="T144">
        <v>6.0209999999999999</v>
      </c>
      <c r="U144">
        <v>69.73</v>
      </c>
      <c r="V144">
        <v>5.649</v>
      </c>
      <c r="W144" s="3">
        <f t="shared" si="14"/>
        <v>0.93821624314897856</v>
      </c>
      <c r="X144">
        <v>57.76</v>
      </c>
      <c r="Y144" s="3">
        <f t="shared" si="15"/>
        <v>0.82833787465940045</v>
      </c>
      <c r="Z144">
        <v>326.3</v>
      </c>
      <c r="AA144">
        <v>77.7</v>
      </c>
      <c r="AB144">
        <v>25.2</v>
      </c>
      <c r="AC144" t="s">
        <v>64</v>
      </c>
      <c r="AE144" t="s">
        <v>65</v>
      </c>
      <c r="AF144" t="s">
        <v>66</v>
      </c>
      <c r="AG144" s="2">
        <v>44198</v>
      </c>
      <c r="AH144" s="1">
        <v>0.67927083333333338</v>
      </c>
      <c r="AI144" t="s">
        <v>68</v>
      </c>
      <c r="AJ144" t="s">
        <v>69</v>
      </c>
      <c r="AO144">
        <v>4.8159999999999998</v>
      </c>
      <c r="AP144">
        <v>71.941999999999993</v>
      </c>
      <c r="AQ144">
        <v>0.6</v>
      </c>
      <c r="AR144">
        <v>1.206</v>
      </c>
      <c r="AS144">
        <v>65.900000000000006</v>
      </c>
      <c r="AT144">
        <v>2.4</v>
      </c>
      <c r="AY144">
        <v>2.36</v>
      </c>
      <c r="AZ144" s="2">
        <v>44229</v>
      </c>
      <c r="BB144" s="2">
        <v>44229</v>
      </c>
      <c r="BD144" t="s">
        <v>68</v>
      </c>
      <c r="BE144" t="s">
        <v>668</v>
      </c>
      <c r="BF144" t="s">
        <v>669</v>
      </c>
      <c r="BG144" t="s">
        <v>670</v>
      </c>
      <c r="BH144">
        <v>0</v>
      </c>
      <c r="BI144">
        <v>0</v>
      </c>
      <c r="BJ144">
        <v>2</v>
      </c>
      <c r="BK144" t="s">
        <v>671</v>
      </c>
      <c r="BL144">
        <v>8.8620000000000001</v>
      </c>
      <c r="BM144">
        <v>8.8620000000000001</v>
      </c>
      <c r="BN144" t="s">
        <v>626</v>
      </c>
      <c r="BO144" s="1">
        <v>0.41064814814814815</v>
      </c>
      <c r="BP144" s="3">
        <f t="shared" si="16"/>
        <v>0.99911799928321054</v>
      </c>
      <c r="BQ144" s="3">
        <f t="shared" si="17"/>
        <v>0.99543361834069333</v>
      </c>
    </row>
    <row r="145" spans="1:69" hidden="1" x14ac:dyDescent="0.35">
      <c r="A145">
        <v>143</v>
      </c>
      <c r="B145">
        <v>4191</v>
      </c>
      <c r="D145">
        <v>22</v>
      </c>
      <c r="E145">
        <v>4</v>
      </c>
      <c r="G145">
        <v>16742.7</v>
      </c>
      <c r="I145" t="s">
        <v>62</v>
      </c>
      <c r="L145" t="s">
        <v>183</v>
      </c>
      <c r="M145">
        <v>6.07</v>
      </c>
      <c r="N145">
        <v>69.7</v>
      </c>
      <c r="O145">
        <v>5.7</v>
      </c>
      <c r="P145" s="3">
        <f t="shared" si="12"/>
        <v>0.93904448105436567</v>
      </c>
      <c r="Q145">
        <v>58</v>
      </c>
      <c r="R145" s="3">
        <f t="shared" si="13"/>
        <v>0.83213773314203732</v>
      </c>
      <c r="S145">
        <v>330</v>
      </c>
      <c r="T145">
        <v>5.9930000000000003</v>
      </c>
      <c r="U145">
        <v>70.52</v>
      </c>
      <c r="V145">
        <v>5.6280000000000001</v>
      </c>
      <c r="W145" s="3">
        <f t="shared" si="14"/>
        <v>0.93909561154680454</v>
      </c>
      <c r="X145">
        <v>58.65</v>
      </c>
      <c r="Y145" s="3">
        <f t="shared" si="15"/>
        <v>0.83167895632444699</v>
      </c>
      <c r="Z145">
        <v>330.1</v>
      </c>
      <c r="AA145">
        <v>78.099999999999994</v>
      </c>
      <c r="AB145">
        <v>24.9</v>
      </c>
      <c r="AC145" t="s">
        <v>64</v>
      </c>
      <c r="AE145" t="s">
        <v>65</v>
      </c>
      <c r="AF145" t="s">
        <v>66</v>
      </c>
      <c r="AG145" t="s">
        <v>626</v>
      </c>
      <c r="AH145" s="1">
        <v>0.43052083333333335</v>
      </c>
      <c r="AI145" t="s">
        <v>68</v>
      </c>
      <c r="AJ145" t="s">
        <v>69</v>
      </c>
      <c r="AO145">
        <v>4.8159999999999998</v>
      </c>
      <c r="AP145">
        <v>73.03</v>
      </c>
      <c r="AQ145">
        <v>0.6</v>
      </c>
      <c r="AR145">
        <v>1.206</v>
      </c>
      <c r="AS145">
        <v>67.100999999999999</v>
      </c>
      <c r="AT145">
        <v>2.4</v>
      </c>
      <c r="AY145">
        <v>2.36</v>
      </c>
      <c r="AZ145" t="s">
        <v>626</v>
      </c>
      <c r="BB145" t="s">
        <v>626</v>
      </c>
      <c r="BD145" t="s">
        <v>68</v>
      </c>
      <c r="BE145" t="s">
        <v>672</v>
      </c>
      <c r="BF145" t="s">
        <v>673</v>
      </c>
      <c r="BG145" t="s">
        <v>674</v>
      </c>
      <c r="BH145">
        <v>0</v>
      </c>
      <c r="BI145">
        <v>1</v>
      </c>
      <c r="BJ145">
        <v>2</v>
      </c>
      <c r="BK145" t="s">
        <v>675</v>
      </c>
      <c r="BL145">
        <v>8.8620000000000001</v>
      </c>
      <c r="BM145">
        <v>8.8620000000000001</v>
      </c>
      <c r="BN145" t="s">
        <v>626</v>
      </c>
      <c r="BO145" s="1">
        <v>0.43052083333333335</v>
      </c>
      <c r="BP145" s="3">
        <f t="shared" si="16"/>
        <v>1.0000544494893164</v>
      </c>
      <c r="BQ145" s="3">
        <f t="shared" si="17"/>
        <v>0.99944867682437855</v>
      </c>
    </row>
    <row r="146" spans="1:69" hidden="1" x14ac:dyDescent="0.35">
      <c r="A146">
        <v>144</v>
      </c>
      <c r="B146">
        <v>4191</v>
      </c>
      <c r="D146">
        <v>22</v>
      </c>
      <c r="E146">
        <v>4</v>
      </c>
      <c r="G146">
        <v>16742.7</v>
      </c>
      <c r="I146" t="s">
        <v>62</v>
      </c>
      <c r="L146" t="s">
        <v>631</v>
      </c>
      <c r="M146">
        <v>6.07</v>
      </c>
      <c r="N146">
        <v>69.7</v>
      </c>
      <c r="O146">
        <v>5.7</v>
      </c>
      <c r="P146" s="3">
        <f t="shared" si="12"/>
        <v>0.93904448105436567</v>
      </c>
      <c r="Q146">
        <v>58</v>
      </c>
      <c r="R146" s="3">
        <f t="shared" si="13"/>
        <v>0.83213773314203732</v>
      </c>
      <c r="S146">
        <v>330</v>
      </c>
      <c r="T146">
        <v>5.9969999999999999</v>
      </c>
      <c r="U146">
        <v>69.959999999999994</v>
      </c>
      <c r="V146">
        <v>5.6509999999999998</v>
      </c>
      <c r="W146" s="3">
        <f t="shared" si="14"/>
        <v>0.94230448557612134</v>
      </c>
      <c r="X146">
        <v>58.04</v>
      </c>
      <c r="Y146" s="3">
        <f t="shared" si="15"/>
        <v>0.82961692395654663</v>
      </c>
      <c r="Z146">
        <v>328</v>
      </c>
      <c r="AA146">
        <v>78.2</v>
      </c>
      <c r="AB146">
        <v>25.3</v>
      </c>
      <c r="AC146" t="s">
        <v>64</v>
      </c>
      <c r="AE146" t="s">
        <v>65</v>
      </c>
      <c r="AF146" t="s">
        <v>66</v>
      </c>
      <c r="AG146" s="2">
        <v>44198</v>
      </c>
      <c r="AH146" s="1">
        <v>0.67994212962962963</v>
      </c>
      <c r="AI146" t="s">
        <v>68</v>
      </c>
      <c r="AJ146" t="s">
        <v>69</v>
      </c>
      <c r="AO146">
        <v>4.8159999999999998</v>
      </c>
      <c r="AP146">
        <v>72.055000000000007</v>
      </c>
      <c r="AQ146">
        <v>0.6</v>
      </c>
      <c r="AR146">
        <v>1.2110000000000001</v>
      </c>
      <c r="AS146">
        <v>66.125</v>
      </c>
      <c r="AT146">
        <v>2.4</v>
      </c>
      <c r="AY146">
        <v>2.36</v>
      </c>
      <c r="AZ146" s="2">
        <v>44229</v>
      </c>
      <c r="BB146" s="2">
        <v>44229</v>
      </c>
      <c r="BD146" t="s">
        <v>68</v>
      </c>
      <c r="BE146" t="s">
        <v>676</v>
      </c>
      <c r="BF146" t="s">
        <v>677</v>
      </c>
      <c r="BG146" t="s">
        <v>678</v>
      </c>
      <c r="BH146">
        <v>0</v>
      </c>
      <c r="BI146">
        <v>0</v>
      </c>
      <c r="BJ146">
        <v>2</v>
      </c>
      <c r="BK146" t="s">
        <v>679</v>
      </c>
      <c r="BL146">
        <v>8.8620000000000001</v>
      </c>
      <c r="BM146">
        <v>8.8620000000000001</v>
      </c>
      <c r="BN146" t="s">
        <v>626</v>
      </c>
      <c r="BO146" s="1">
        <v>0.43052083333333335</v>
      </c>
      <c r="BP146" s="3">
        <f t="shared" si="16"/>
        <v>1.003471618850361</v>
      </c>
      <c r="BQ146" s="3">
        <f t="shared" si="17"/>
        <v>0.9969706827546776</v>
      </c>
    </row>
    <row r="147" spans="1:69" hidden="1" x14ac:dyDescent="0.35">
      <c r="A147">
        <v>145</v>
      </c>
      <c r="B147">
        <v>4187</v>
      </c>
      <c r="D147">
        <v>22</v>
      </c>
      <c r="E147">
        <v>4</v>
      </c>
      <c r="G147">
        <v>16742.7</v>
      </c>
      <c r="I147" t="s">
        <v>62</v>
      </c>
      <c r="L147" t="s">
        <v>183</v>
      </c>
      <c r="M147">
        <v>6.07</v>
      </c>
      <c r="N147">
        <v>69.7</v>
      </c>
      <c r="O147">
        <v>5.7</v>
      </c>
      <c r="P147" s="3">
        <f t="shared" si="12"/>
        <v>0.93904448105436567</v>
      </c>
      <c r="Q147">
        <v>58</v>
      </c>
      <c r="R147" s="3">
        <f t="shared" si="13"/>
        <v>0.83213773314203732</v>
      </c>
      <c r="S147">
        <v>330</v>
      </c>
      <c r="T147">
        <v>6.0110000000000001</v>
      </c>
      <c r="U147">
        <v>70.540000000000006</v>
      </c>
      <c r="V147">
        <v>5.6210000000000004</v>
      </c>
      <c r="W147" s="3">
        <f t="shared" si="14"/>
        <v>0.93511894859424394</v>
      </c>
      <c r="X147">
        <v>58.59</v>
      </c>
      <c r="Y147" s="3">
        <f t="shared" si="15"/>
        <v>0.83059257159058686</v>
      </c>
      <c r="Z147">
        <v>329.4</v>
      </c>
      <c r="AA147">
        <v>77.7</v>
      </c>
      <c r="AB147">
        <v>25</v>
      </c>
      <c r="AC147" t="s">
        <v>64</v>
      </c>
      <c r="AE147" t="s">
        <v>65</v>
      </c>
      <c r="AF147" t="s">
        <v>66</v>
      </c>
      <c r="AG147" t="s">
        <v>626</v>
      </c>
      <c r="AH147" s="1">
        <v>0.40578703703703706</v>
      </c>
      <c r="AI147" t="s">
        <v>68</v>
      </c>
      <c r="AJ147" t="s">
        <v>69</v>
      </c>
      <c r="AO147">
        <v>4.8109999999999999</v>
      </c>
      <c r="AP147">
        <v>73.143000000000001</v>
      </c>
      <c r="AQ147">
        <v>0.6</v>
      </c>
      <c r="AR147">
        <v>1.206</v>
      </c>
      <c r="AS147">
        <v>67.176000000000002</v>
      </c>
      <c r="AT147">
        <v>2.4</v>
      </c>
      <c r="AY147">
        <v>2.36</v>
      </c>
      <c r="AZ147" t="s">
        <v>626</v>
      </c>
      <c r="BB147" t="s">
        <v>626</v>
      </c>
      <c r="BD147" t="s">
        <v>68</v>
      </c>
      <c r="BE147" t="s">
        <v>680</v>
      </c>
      <c r="BF147" t="s">
        <v>681</v>
      </c>
      <c r="BG147" t="s">
        <v>682</v>
      </c>
      <c r="BH147">
        <v>0</v>
      </c>
      <c r="BI147">
        <v>1</v>
      </c>
      <c r="BJ147">
        <v>2</v>
      </c>
      <c r="BK147" t="s">
        <v>683</v>
      </c>
      <c r="BL147">
        <v>8.8620000000000001</v>
      </c>
      <c r="BM147">
        <v>8.8620000000000001</v>
      </c>
      <c r="BN147" t="s">
        <v>626</v>
      </c>
      <c r="BO147" s="1">
        <v>0.40578703703703706</v>
      </c>
      <c r="BP147" s="3">
        <f t="shared" si="16"/>
        <v>0.99581965227492297</v>
      </c>
      <c r="BQ147" s="3">
        <f t="shared" si="17"/>
        <v>0.99814314206661903</v>
      </c>
    </row>
    <row r="148" spans="1:69" hidden="1" x14ac:dyDescent="0.35">
      <c r="A148">
        <v>146</v>
      </c>
      <c r="B148">
        <v>4187</v>
      </c>
      <c r="D148">
        <v>22</v>
      </c>
      <c r="E148">
        <v>4</v>
      </c>
      <c r="G148">
        <v>16742.7</v>
      </c>
      <c r="I148" t="s">
        <v>62</v>
      </c>
      <c r="L148" t="s">
        <v>631</v>
      </c>
      <c r="M148">
        <v>6.07</v>
      </c>
      <c r="N148">
        <v>69.7</v>
      </c>
      <c r="O148">
        <v>5.7</v>
      </c>
      <c r="P148" s="3">
        <f t="shared" si="12"/>
        <v>0.93904448105436567</v>
      </c>
      <c r="Q148">
        <v>58</v>
      </c>
      <c r="R148" s="3">
        <f t="shared" si="13"/>
        <v>0.83213773314203732</v>
      </c>
      <c r="S148">
        <v>330</v>
      </c>
      <c r="T148">
        <v>6.02</v>
      </c>
      <c r="U148">
        <v>70.069999999999993</v>
      </c>
      <c r="V148">
        <v>5.6459999999999999</v>
      </c>
      <c r="W148" s="3">
        <f t="shared" si="14"/>
        <v>0.93787375415282392</v>
      </c>
      <c r="X148">
        <v>58.08</v>
      </c>
      <c r="Y148" s="3">
        <f t="shared" si="15"/>
        <v>0.82888540031397184</v>
      </c>
      <c r="Z148">
        <v>327.9</v>
      </c>
      <c r="AA148">
        <v>77.7</v>
      </c>
      <c r="AB148">
        <v>25.2</v>
      </c>
      <c r="AC148" t="s">
        <v>64</v>
      </c>
      <c r="AE148" t="s">
        <v>65</v>
      </c>
      <c r="AF148" t="s">
        <v>66</v>
      </c>
      <c r="AG148" s="2">
        <v>44198</v>
      </c>
      <c r="AH148" s="1">
        <v>0.67864583333333328</v>
      </c>
      <c r="AI148" t="s">
        <v>68</v>
      </c>
      <c r="AJ148" t="s">
        <v>69</v>
      </c>
      <c r="AO148">
        <v>4.8209999999999997</v>
      </c>
      <c r="AP148">
        <v>72.355000000000004</v>
      </c>
      <c r="AQ148">
        <v>0.6</v>
      </c>
      <c r="AR148">
        <v>1.2110000000000001</v>
      </c>
      <c r="AS148">
        <v>66.424999999999997</v>
      </c>
      <c r="AT148">
        <v>2.4</v>
      </c>
      <c r="AY148">
        <v>2.36</v>
      </c>
      <c r="AZ148" s="2">
        <v>44229</v>
      </c>
      <c r="BB148" s="2">
        <v>44229</v>
      </c>
      <c r="BD148" t="s">
        <v>68</v>
      </c>
      <c r="BE148" t="s">
        <v>684</v>
      </c>
      <c r="BF148" t="s">
        <v>685</v>
      </c>
      <c r="BG148" t="s">
        <v>686</v>
      </c>
      <c r="BH148">
        <v>0</v>
      </c>
      <c r="BI148">
        <v>0</v>
      </c>
      <c r="BJ148">
        <v>2</v>
      </c>
      <c r="BK148" t="s">
        <v>687</v>
      </c>
      <c r="BL148">
        <v>8.8620000000000001</v>
      </c>
      <c r="BM148">
        <v>8.8620000000000001</v>
      </c>
      <c r="BN148" t="s">
        <v>626</v>
      </c>
      <c r="BO148" s="1">
        <v>0.40578703703703706</v>
      </c>
      <c r="BP148" s="3">
        <f t="shared" si="16"/>
        <v>0.99875327854520024</v>
      </c>
      <c r="BQ148" s="3">
        <f t="shared" si="17"/>
        <v>0.99609159313592821</v>
      </c>
    </row>
    <row r="149" spans="1:69" hidden="1" x14ac:dyDescent="0.35">
      <c r="A149">
        <v>147</v>
      </c>
      <c r="B149">
        <v>4193</v>
      </c>
      <c r="D149">
        <v>22</v>
      </c>
      <c r="E149">
        <v>4</v>
      </c>
      <c r="G149">
        <v>16742.7</v>
      </c>
      <c r="I149" t="s">
        <v>62</v>
      </c>
      <c r="L149" t="s">
        <v>183</v>
      </c>
      <c r="M149">
        <v>6.07</v>
      </c>
      <c r="N149">
        <v>69.7</v>
      </c>
      <c r="O149">
        <v>5.7</v>
      </c>
      <c r="P149" s="3">
        <f t="shared" si="12"/>
        <v>0.93904448105436567</v>
      </c>
      <c r="Q149">
        <v>58</v>
      </c>
      <c r="R149" s="3">
        <f t="shared" si="13"/>
        <v>0.83213773314203732</v>
      </c>
      <c r="S149">
        <v>330</v>
      </c>
      <c r="T149">
        <v>5.9950000000000001</v>
      </c>
      <c r="U149">
        <v>70.53</v>
      </c>
      <c r="V149">
        <v>5.6219999999999999</v>
      </c>
      <c r="W149" s="3">
        <f t="shared" si="14"/>
        <v>0.93778148457047539</v>
      </c>
      <c r="X149">
        <v>58.69</v>
      </c>
      <c r="Y149" s="3">
        <f t="shared" si="15"/>
        <v>0.83212817240890402</v>
      </c>
      <c r="Z149">
        <v>329.9</v>
      </c>
      <c r="AA149">
        <v>78</v>
      </c>
      <c r="AB149">
        <v>25.4</v>
      </c>
      <c r="AC149" t="s">
        <v>64</v>
      </c>
      <c r="AE149" t="s">
        <v>65</v>
      </c>
      <c r="AF149" t="s">
        <v>66</v>
      </c>
      <c r="AG149" t="s">
        <v>626</v>
      </c>
      <c r="AH149" s="1">
        <v>0.4468287037037037</v>
      </c>
      <c r="AI149" t="s">
        <v>68</v>
      </c>
      <c r="AJ149" t="s">
        <v>69</v>
      </c>
      <c r="AO149">
        <v>4.8159999999999998</v>
      </c>
      <c r="AP149">
        <v>73.218000000000004</v>
      </c>
      <c r="AQ149">
        <v>0.8</v>
      </c>
      <c r="AR149">
        <v>1.206</v>
      </c>
      <c r="AS149">
        <v>67.100999999999999</v>
      </c>
      <c r="AT149">
        <v>2.4</v>
      </c>
      <c r="AY149">
        <v>2.36</v>
      </c>
      <c r="AZ149" t="s">
        <v>626</v>
      </c>
      <c r="BB149" t="s">
        <v>626</v>
      </c>
      <c r="BD149" t="s">
        <v>68</v>
      </c>
      <c r="BE149" t="s">
        <v>688</v>
      </c>
      <c r="BF149" t="s">
        <v>689</v>
      </c>
      <c r="BG149" t="s">
        <v>690</v>
      </c>
      <c r="BH149">
        <v>0</v>
      </c>
      <c r="BI149">
        <v>1</v>
      </c>
      <c r="BJ149">
        <v>2</v>
      </c>
      <c r="BK149" t="s">
        <v>691</v>
      </c>
      <c r="BL149">
        <v>8.8620000000000001</v>
      </c>
      <c r="BM149">
        <v>8.8620000000000001</v>
      </c>
      <c r="BN149" t="s">
        <v>626</v>
      </c>
      <c r="BO149" s="1">
        <v>0.4468287037037037</v>
      </c>
      <c r="BP149" s="3">
        <f t="shared" si="16"/>
        <v>0.99865501953382207</v>
      </c>
      <c r="BQ149" s="3">
        <f t="shared" si="17"/>
        <v>0.99998851063621741</v>
      </c>
    </row>
    <row r="150" spans="1:69" hidden="1" x14ac:dyDescent="0.35">
      <c r="A150">
        <v>148</v>
      </c>
      <c r="B150">
        <v>4193</v>
      </c>
      <c r="D150">
        <v>22</v>
      </c>
      <c r="E150">
        <v>4</v>
      </c>
      <c r="G150">
        <v>16742.7</v>
      </c>
      <c r="I150" t="s">
        <v>62</v>
      </c>
      <c r="L150" t="s">
        <v>631</v>
      </c>
      <c r="M150">
        <v>6.07</v>
      </c>
      <c r="N150">
        <v>69.7</v>
      </c>
      <c r="O150">
        <v>5.7</v>
      </c>
      <c r="P150" s="3">
        <f t="shared" si="12"/>
        <v>0.93904448105436567</v>
      </c>
      <c r="Q150">
        <v>58</v>
      </c>
      <c r="R150" s="3">
        <f t="shared" si="13"/>
        <v>0.83213773314203732</v>
      </c>
      <c r="S150">
        <v>330</v>
      </c>
      <c r="T150">
        <v>6.0149999999999997</v>
      </c>
      <c r="U150">
        <v>70.099999999999994</v>
      </c>
      <c r="V150">
        <v>5.6449999999999996</v>
      </c>
      <c r="W150" s="3">
        <f t="shared" si="14"/>
        <v>0.93848711554447217</v>
      </c>
      <c r="X150">
        <v>58.21</v>
      </c>
      <c r="Y150" s="3">
        <f t="shared" si="15"/>
        <v>0.83038516405135532</v>
      </c>
      <c r="Z150">
        <v>328.6</v>
      </c>
      <c r="AA150">
        <v>77.900000000000006</v>
      </c>
      <c r="AB150">
        <v>25.1</v>
      </c>
      <c r="AC150" t="s">
        <v>64</v>
      </c>
      <c r="AE150" t="s">
        <v>65</v>
      </c>
      <c r="AF150" t="s">
        <v>66</v>
      </c>
      <c r="AG150" s="2">
        <v>44198</v>
      </c>
      <c r="AH150" s="1">
        <v>0.67756944444444445</v>
      </c>
      <c r="AI150" t="s">
        <v>68</v>
      </c>
      <c r="AJ150" t="s">
        <v>69</v>
      </c>
      <c r="AO150">
        <v>4.8159999999999998</v>
      </c>
      <c r="AP150">
        <v>72.242000000000004</v>
      </c>
      <c r="AQ150">
        <v>0.6</v>
      </c>
      <c r="AR150">
        <v>1.2110000000000001</v>
      </c>
      <c r="AS150">
        <v>66.424999999999997</v>
      </c>
      <c r="AT150">
        <v>2.4</v>
      </c>
      <c r="AY150">
        <v>2.36</v>
      </c>
      <c r="AZ150" s="2">
        <v>44229</v>
      </c>
      <c r="BB150" s="2">
        <v>44229</v>
      </c>
      <c r="BD150" t="s">
        <v>68</v>
      </c>
      <c r="BE150" t="s">
        <v>692</v>
      </c>
      <c r="BF150" t="s">
        <v>693</v>
      </c>
      <c r="BG150" t="s">
        <v>694</v>
      </c>
      <c r="BH150">
        <v>0</v>
      </c>
      <c r="BI150">
        <v>0</v>
      </c>
      <c r="BJ150">
        <v>2</v>
      </c>
      <c r="BK150" t="s">
        <v>695</v>
      </c>
      <c r="BL150">
        <v>8.8620000000000001</v>
      </c>
      <c r="BM150">
        <v>8.8620000000000001</v>
      </c>
      <c r="BN150" t="s">
        <v>626</v>
      </c>
      <c r="BO150" s="1">
        <v>0.4468287037037037</v>
      </c>
      <c r="BP150" s="3">
        <f t="shared" si="16"/>
        <v>0.99940645462367483</v>
      </c>
      <c r="BQ150" s="3">
        <f t="shared" si="17"/>
        <v>0.99789389542033557</v>
      </c>
    </row>
    <row r="151" spans="1:69" hidden="1" x14ac:dyDescent="0.35">
      <c r="A151">
        <v>149</v>
      </c>
      <c r="B151">
        <v>4192</v>
      </c>
      <c r="D151">
        <v>22</v>
      </c>
      <c r="E151">
        <v>4</v>
      </c>
      <c r="G151">
        <v>16742.7</v>
      </c>
      <c r="I151" t="s">
        <v>62</v>
      </c>
      <c r="L151" t="s">
        <v>183</v>
      </c>
      <c r="M151">
        <v>6.07</v>
      </c>
      <c r="N151">
        <v>69.7</v>
      </c>
      <c r="O151">
        <v>5.7</v>
      </c>
      <c r="P151" s="3">
        <f t="shared" si="12"/>
        <v>0.93904448105436567</v>
      </c>
      <c r="Q151">
        <v>58</v>
      </c>
      <c r="R151" s="3">
        <f t="shared" si="13"/>
        <v>0.83213773314203732</v>
      </c>
      <c r="S151">
        <v>330</v>
      </c>
      <c r="T151">
        <v>6.0049999999999999</v>
      </c>
      <c r="U151">
        <v>70.48</v>
      </c>
      <c r="V151">
        <v>5.6340000000000003</v>
      </c>
      <c r="W151" s="3">
        <f t="shared" si="14"/>
        <v>0.93821815154038313</v>
      </c>
      <c r="X151">
        <v>58.59</v>
      </c>
      <c r="Y151" s="3">
        <f t="shared" si="15"/>
        <v>0.8312996594778661</v>
      </c>
      <c r="Z151">
        <v>330.1</v>
      </c>
      <c r="AA151">
        <v>78</v>
      </c>
      <c r="AB151">
        <v>25.1</v>
      </c>
      <c r="AC151" t="s">
        <v>64</v>
      </c>
      <c r="AE151" t="s">
        <v>65</v>
      </c>
      <c r="AF151" t="s">
        <v>66</v>
      </c>
      <c r="AG151" t="s">
        <v>626</v>
      </c>
      <c r="AH151" s="1">
        <v>0.43254629629629632</v>
      </c>
      <c r="AI151" t="s">
        <v>68</v>
      </c>
      <c r="AJ151" t="s">
        <v>69</v>
      </c>
      <c r="AO151">
        <v>4.8209999999999997</v>
      </c>
      <c r="AP151">
        <v>73.03</v>
      </c>
      <c r="AQ151">
        <v>0.6</v>
      </c>
      <c r="AR151">
        <v>1.206</v>
      </c>
      <c r="AS151">
        <v>66.988</v>
      </c>
      <c r="AT151">
        <v>2.4500000000000002</v>
      </c>
      <c r="AY151">
        <v>2.36</v>
      </c>
      <c r="AZ151" t="s">
        <v>626</v>
      </c>
      <c r="BB151" t="s">
        <v>626</v>
      </c>
      <c r="BD151" t="s">
        <v>68</v>
      </c>
      <c r="BE151" t="s">
        <v>696</v>
      </c>
      <c r="BF151" t="s">
        <v>697</v>
      </c>
      <c r="BG151" t="s">
        <v>698</v>
      </c>
      <c r="BH151">
        <v>0</v>
      </c>
      <c r="BI151">
        <v>1</v>
      </c>
      <c r="BJ151">
        <v>2</v>
      </c>
      <c r="BK151" t="s">
        <v>699</v>
      </c>
      <c r="BL151">
        <v>8.8620000000000001</v>
      </c>
      <c r="BM151">
        <v>8.8620000000000001</v>
      </c>
      <c r="BN151" t="s">
        <v>626</v>
      </c>
      <c r="BO151" s="1">
        <v>0.43254629629629632</v>
      </c>
      <c r="BP151" s="3">
        <f t="shared" si="16"/>
        <v>0.99912003155265372</v>
      </c>
      <c r="BQ151" s="3">
        <f t="shared" si="17"/>
        <v>0.99899286664840115</v>
      </c>
    </row>
    <row r="152" spans="1:69" hidden="1" x14ac:dyDescent="0.35">
      <c r="A152">
        <v>150</v>
      </c>
      <c r="B152">
        <v>4192</v>
      </c>
      <c r="D152">
        <v>22</v>
      </c>
      <c r="E152">
        <v>4</v>
      </c>
      <c r="G152">
        <v>16742.7</v>
      </c>
      <c r="I152" t="s">
        <v>62</v>
      </c>
      <c r="L152" t="s">
        <v>631</v>
      </c>
      <c r="M152">
        <v>6.07</v>
      </c>
      <c r="N152">
        <v>69.7</v>
      </c>
      <c r="O152">
        <v>5.7</v>
      </c>
      <c r="P152" s="3">
        <f t="shared" si="12"/>
        <v>0.93904448105436567</v>
      </c>
      <c r="Q152">
        <v>58</v>
      </c>
      <c r="R152" s="3">
        <f t="shared" si="13"/>
        <v>0.83213773314203732</v>
      </c>
      <c r="S152">
        <v>330</v>
      </c>
      <c r="T152">
        <v>6.02</v>
      </c>
      <c r="U152">
        <v>69.959999999999994</v>
      </c>
      <c r="V152">
        <v>5.6630000000000003</v>
      </c>
      <c r="W152" s="3">
        <f t="shared" si="14"/>
        <v>0.94069767441860475</v>
      </c>
      <c r="X152">
        <v>58.01</v>
      </c>
      <c r="Y152" s="3">
        <f t="shared" si="15"/>
        <v>0.82918810748999427</v>
      </c>
      <c r="Z152">
        <v>328.5</v>
      </c>
      <c r="AA152">
        <v>78</v>
      </c>
      <c r="AB152">
        <v>25.2</v>
      </c>
      <c r="AC152" t="s">
        <v>64</v>
      </c>
      <c r="AE152" t="s">
        <v>65</v>
      </c>
      <c r="AF152" t="s">
        <v>66</v>
      </c>
      <c r="AG152" s="2">
        <v>44198</v>
      </c>
      <c r="AH152" s="1">
        <v>0.6739236111111111</v>
      </c>
      <c r="AI152" t="s">
        <v>68</v>
      </c>
      <c r="AJ152" t="s">
        <v>69</v>
      </c>
      <c r="AO152">
        <v>4.8109999999999999</v>
      </c>
      <c r="AP152">
        <v>72.242000000000004</v>
      </c>
      <c r="AQ152">
        <v>0.6</v>
      </c>
      <c r="AR152">
        <v>1.206</v>
      </c>
      <c r="AS152">
        <v>66.311999999999998</v>
      </c>
      <c r="AT152">
        <v>2.4</v>
      </c>
      <c r="AY152">
        <v>2.36</v>
      </c>
      <c r="AZ152" s="2">
        <v>44229</v>
      </c>
      <c r="BB152" s="2">
        <v>44229</v>
      </c>
      <c r="BD152" t="s">
        <v>68</v>
      </c>
      <c r="BE152" t="s">
        <v>700</v>
      </c>
      <c r="BF152" t="s">
        <v>701</v>
      </c>
      <c r="BG152" t="s">
        <v>702</v>
      </c>
      <c r="BH152">
        <v>0</v>
      </c>
      <c r="BI152">
        <v>0</v>
      </c>
      <c r="BJ152">
        <v>2</v>
      </c>
      <c r="BK152" t="s">
        <v>703</v>
      </c>
      <c r="BL152">
        <v>8.8620000000000001</v>
      </c>
      <c r="BM152">
        <v>8.8620000000000001</v>
      </c>
      <c r="BN152" t="s">
        <v>626</v>
      </c>
      <c r="BO152" s="1">
        <v>0.43254629629629632</v>
      </c>
      <c r="BP152" s="3">
        <f t="shared" si="16"/>
        <v>1.0017605059159529</v>
      </c>
      <c r="BQ152" s="3">
        <f t="shared" si="17"/>
        <v>0.99645536365607934</v>
      </c>
    </row>
    <row r="153" spans="1:69" hidden="1" x14ac:dyDescent="0.35">
      <c r="A153">
        <v>151</v>
      </c>
      <c r="B153">
        <v>3844</v>
      </c>
      <c r="D153">
        <v>22</v>
      </c>
      <c r="E153">
        <v>3</v>
      </c>
      <c r="G153">
        <v>16690</v>
      </c>
      <c r="I153" t="s">
        <v>62</v>
      </c>
      <c r="L153" t="s">
        <v>704</v>
      </c>
      <c r="M153">
        <v>6.03</v>
      </c>
      <c r="N153">
        <v>69.599999999999994</v>
      </c>
      <c r="O153">
        <v>5.65</v>
      </c>
      <c r="P153" s="3">
        <f t="shared" si="12"/>
        <v>0.93698175787728033</v>
      </c>
      <c r="Q153">
        <v>57.6</v>
      </c>
      <c r="R153" s="3">
        <f t="shared" si="13"/>
        <v>0.82758620689655182</v>
      </c>
      <c r="S153">
        <v>325</v>
      </c>
      <c r="T153">
        <v>6.0279999999999996</v>
      </c>
      <c r="U153">
        <v>69.58</v>
      </c>
      <c r="V153">
        <v>5.6959999999999997</v>
      </c>
      <c r="W153" s="3">
        <f t="shared" si="14"/>
        <v>0.94492368944923688</v>
      </c>
      <c r="X153">
        <v>57.81</v>
      </c>
      <c r="Y153" s="3">
        <f t="shared" si="15"/>
        <v>0.83084219603334297</v>
      </c>
      <c r="Z153">
        <v>329.3</v>
      </c>
      <c r="AA153">
        <v>78.5</v>
      </c>
      <c r="AB153">
        <v>25.4</v>
      </c>
      <c r="AC153" t="s">
        <v>64</v>
      </c>
      <c r="AE153" t="s">
        <v>65</v>
      </c>
      <c r="AF153" t="s">
        <v>66</v>
      </c>
      <c r="AG153" t="s">
        <v>705</v>
      </c>
      <c r="AH153" s="1">
        <v>0.43328703703703703</v>
      </c>
      <c r="AI153" t="s">
        <v>68</v>
      </c>
      <c r="AJ153" t="s">
        <v>69</v>
      </c>
      <c r="AO153">
        <v>4.8109999999999999</v>
      </c>
      <c r="AP153">
        <v>71.941999999999993</v>
      </c>
      <c r="AQ153">
        <v>0.8</v>
      </c>
      <c r="AR153">
        <v>1.206</v>
      </c>
      <c r="AS153">
        <v>65.900000000000006</v>
      </c>
      <c r="AT153">
        <v>3.2</v>
      </c>
      <c r="AY153">
        <v>2.36</v>
      </c>
      <c r="AZ153" t="s">
        <v>185</v>
      </c>
      <c r="BB153" t="s">
        <v>185</v>
      </c>
      <c r="BD153" t="s">
        <v>68</v>
      </c>
      <c r="BE153" t="s">
        <v>706</v>
      </c>
      <c r="BF153" t="s">
        <v>707</v>
      </c>
      <c r="BG153" t="s">
        <v>708</v>
      </c>
      <c r="BH153">
        <v>0</v>
      </c>
      <c r="BI153">
        <v>0</v>
      </c>
      <c r="BJ153">
        <v>2</v>
      </c>
      <c r="BK153" t="s">
        <v>709</v>
      </c>
      <c r="BL153">
        <v>8.8620000000000001</v>
      </c>
      <c r="BM153">
        <v>9.2479999999999993</v>
      </c>
      <c r="BN153" s="2">
        <v>43405</v>
      </c>
      <c r="BO153" s="1">
        <v>0.70725694444444442</v>
      </c>
      <c r="BP153" s="3">
        <f t="shared" si="16"/>
        <v>1.0084760791821059</v>
      </c>
      <c r="BQ153" s="3">
        <f t="shared" si="17"/>
        <v>1.0039343202069559</v>
      </c>
    </row>
    <row r="154" spans="1:69" hidden="1" x14ac:dyDescent="0.35">
      <c r="A154">
        <v>152</v>
      </c>
      <c r="B154">
        <v>3844</v>
      </c>
      <c r="D154">
        <v>22</v>
      </c>
      <c r="E154">
        <v>3</v>
      </c>
      <c r="G154">
        <v>16690</v>
      </c>
      <c r="I154" t="s">
        <v>62</v>
      </c>
      <c r="L154" t="s">
        <v>710</v>
      </c>
      <c r="M154">
        <v>6.03</v>
      </c>
      <c r="N154">
        <v>69.599999999999994</v>
      </c>
      <c r="O154">
        <v>5.65</v>
      </c>
      <c r="P154" s="3">
        <f t="shared" si="12"/>
        <v>0.93698175787728033</v>
      </c>
      <c r="Q154">
        <v>57.6</v>
      </c>
      <c r="R154" s="3">
        <f t="shared" si="13"/>
        <v>0.82758620689655182</v>
      </c>
      <c r="S154">
        <v>325</v>
      </c>
      <c r="T154">
        <v>6.0339999999999998</v>
      </c>
      <c r="U154">
        <v>69.36</v>
      </c>
      <c r="V154">
        <v>5.6390000000000002</v>
      </c>
      <c r="W154" s="3">
        <f t="shared" si="14"/>
        <v>0.93453762015246944</v>
      </c>
      <c r="X154">
        <v>57.37</v>
      </c>
      <c r="Y154" s="3">
        <f t="shared" si="15"/>
        <v>0.82713379469434833</v>
      </c>
      <c r="Z154">
        <v>323.5</v>
      </c>
      <c r="AA154">
        <v>77.3</v>
      </c>
      <c r="AB154">
        <v>25.2</v>
      </c>
      <c r="AC154" t="s">
        <v>64</v>
      </c>
      <c r="AE154" t="s">
        <v>65</v>
      </c>
      <c r="AF154" t="s">
        <v>66</v>
      </c>
      <c r="AG154" t="s">
        <v>711</v>
      </c>
      <c r="AH154" s="1">
        <v>0.66031249999999997</v>
      </c>
      <c r="AI154" t="s">
        <v>68</v>
      </c>
      <c r="AJ154" t="s">
        <v>69</v>
      </c>
      <c r="AO154">
        <v>4.8209999999999997</v>
      </c>
      <c r="AP154">
        <v>71.754000000000005</v>
      </c>
      <c r="AQ154">
        <v>0.8</v>
      </c>
      <c r="AR154">
        <v>1.2110000000000001</v>
      </c>
      <c r="AS154">
        <v>65.637</v>
      </c>
      <c r="AT154">
        <v>3.2</v>
      </c>
      <c r="AY154">
        <v>2.36</v>
      </c>
      <c r="AZ154" t="s">
        <v>712</v>
      </c>
      <c r="BB154" t="s">
        <v>712</v>
      </c>
      <c r="BD154" t="s">
        <v>68</v>
      </c>
      <c r="BE154" t="s">
        <v>713</v>
      </c>
      <c r="BF154" t="s">
        <v>714</v>
      </c>
      <c r="BG154" t="s">
        <v>715</v>
      </c>
      <c r="BH154">
        <v>0</v>
      </c>
      <c r="BI154">
        <v>1</v>
      </c>
      <c r="BJ154">
        <v>2</v>
      </c>
      <c r="BK154" t="s">
        <v>716</v>
      </c>
      <c r="BL154">
        <v>8.8620000000000001</v>
      </c>
      <c r="BM154">
        <v>9.2479999999999993</v>
      </c>
      <c r="BN154" s="2">
        <v>43405</v>
      </c>
      <c r="BO154" s="1">
        <v>0.70725694444444442</v>
      </c>
      <c r="BP154" s="3">
        <f t="shared" si="16"/>
        <v>0.99739147779104254</v>
      </c>
      <c r="BQ154" s="3">
        <f t="shared" si="17"/>
        <v>0.99945333525567082</v>
      </c>
    </row>
    <row r="155" spans="1:69" hidden="1" x14ac:dyDescent="0.35">
      <c r="A155">
        <v>153</v>
      </c>
      <c r="B155">
        <v>3845</v>
      </c>
      <c r="D155">
        <v>22</v>
      </c>
      <c r="E155">
        <v>3</v>
      </c>
      <c r="G155">
        <v>16690</v>
      </c>
      <c r="I155" t="s">
        <v>62</v>
      </c>
      <c r="L155" t="s">
        <v>704</v>
      </c>
      <c r="M155">
        <v>6.03</v>
      </c>
      <c r="N155">
        <v>69.599999999999994</v>
      </c>
      <c r="O155">
        <v>5.65</v>
      </c>
      <c r="P155" s="3">
        <f t="shared" si="12"/>
        <v>0.93698175787728033</v>
      </c>
      <c r="Q155">
        <v>57.6</v>
      </c>
      <c r="R155" s="3">
        <f t="shared" si="13"/>
        <v>0.82758620689655182</v>
      </c>
      <c r="S155">
        <v>325</v>
      </c>
      <c r="T155">
        <v>5.9989999999999997</v>
      </c>
      <c r="U155">
        <v>69.510000000000005</v>
      </c>
      <c r="V155">
        <v>5.6959999999999997</v>
      </c>
      <c r="W155" s="3">
        <f t="shared" si="14"/>
        <v>0.94949158193032168</v>
      </c>
      <c r="X155">
        <v>57.77</v>
      </c>
      <c r="Y155" s="3">
        <f t="shared" si="15"/>
        <v>0.83110343835419365</v>
      </c>
      <c r="Z155">
        <v>329.1</v>
      </c>
      <c r="AA155">
        <v>78.900000000000006</v>
      </c>
      <c r="AB155">
        <v>25.3</v>
      </c>
      <c r="AC155" t="s">
        <v>64</v>
      </c>
      <c r="AE155" t="s">
        <v>65</v>
      </c>
      <c r="AF155" t="s">
        <v>66</v>
      </c>
      <c r="AG155" t="s">
        <v>705</v>
      </c>
      <c r="AH155" s="1">
        <v>0.43424768518518519</v>
      </c>
      <c r="AI155" t="s">
        <v>68</v>
      </c>
      <c r="AJ155" t="s">
        <v>69</v>
      </c>
      <c r="AO155">
        <v>4.8109999999999999</v>
      </c>
      <c r="AP155">
        <v>71.867000000000004</v>
      </c>
      <c r="AQ155">
        <v>0.8</v>
      </c>
      <c r="AR155">
        <v>1.206</v>
      </c>
      <c r="AS155">
        <v>65.900000000000006</v>
      </c>
      <c r="AT155">
        <v>3.2</v>
      </c>
      <c r="AY155">
        <v>2.36</v>
      </c>
      <c r="AZ155" t="s">
        <v>185</v>
      </c>
      <c r="BB155" t="s">
        <v>185</v>
      </c>
      <c r="BD155" t="s">
        <v>68</v>
      </c>
      <c r="BE155" t="s">
        <v>717</v>
      </c>
      <c r="BF155" t="s">
        <v>718</v>
      </c>
      <c r="BG155" t="s">
        <v>719</v>
      </c>
      <c r="BH155">
        <v>0</v>
      </c>
      <c r="BI155">
        <v>0</v>
      </c>
      <c r="BJ155">
        <v>2</v>
      </c>
      <c r="BK155" t="s">
        <v>720</v>
      </c>
      <c r="BL155">
        <v>8.8620000000000001</v>
      </c>
      <c r="BM155">
        <v>9.2479999999999993</v>
      </c>
      <c r="BN155" s="2">
        <v>43405</v>
      </c>
      <c r="BO155" s="1">
        <v>0.71282407407407411</v>
      </c>
      <c r="BP155" s="3">
        <f t="shared" si="16"/>
        <v>1.013351192750414</v>
      </c>
      <c r="BQ155" s="3">
        <f t="shared" si="17"/>
        <v>1.0042499880113172</v>
      </c>
    </row>
    <row r="156" spans="1:69" hidden="1" x14ac:dyDescent="0.35">
      <c r="A156">
        <v>154</v>
      </c>
      <c r="B156">
        <v>3845</v>
      </c>
      <c r="D156">
        <v>22</v>
      </c>
      <c r="E156">
        <v>3</v>
      </c>
      <c r="G156">
        <v>16690</v>
      </c>
      <c r="I156" t="s">
        <v>62</v>
      </c>
      <c r="L156" t="s">
        <v>710</v>
      </c>
      <c r="M156">
        <v>6.03</v>
      </c>
      <c r="N156">
        <v>69.599999999999994</v>
      </c>
      <c r="O156">
        <v>5.65</v>
      </c>
      <c r="P156" s="3">
        <f t="shared" si="12"/>
        <v>0.93698175787728033</v>
      </c>
      <c r="Q156">
        <v>57.6</v>
      </c>
      <c r="R156" s="3">
        <f t="shared" si="13"/>
        <v>0.82758620689655182</v>
      </c>
      <c r="S156">
        <v>325</v>
      </c>
      <c r="T156">
        <v>5.9989999999999997</v>
      </c>
      <c r="U156">
        <v>69.290000000000006</v>
      </c>
      <c r="V156">
        <v>5.641</v>
      </c>
      <c r="W156" s="3">
        <f t="shared" si="14"/>
        <v>0.94032338723120523</v>
      </c>
      <c r="X156">
        <v>57.33</v>
      </c>
      <c r="Y156" s="3">
        <f t="shared" si="15"/>
        <v>0.82739212007504681</v>
      </c>
      <c r="Z156">
        <v>323.39999999999998</v>
      </c>
      <c r="AA156">
        <v>77.8</v>
      </c>
      <c r="AB156">
        <v>25</v>
      </c>
      <c r="AC156" t="s">
        <v>64</v>
      </c>
      <c r="AE156" t="s">
        <v>65</v>
      </c>
      <c r="AF156" t="s">
        <v>66</v>
      </c>
      <c r="AG156" t="s">
        <v>711</v>
      </c>
      <c r="AH156" s="1">
        <v>0.66206018518518517</v>
      </c>
      <c r="AI156" t="s">
        <v>68</v>
      </c>
      <c r="AJ156" t="s">
        <v>69</v>
      </c>
      <c r="AO156">
        <v>4.8159999999999998</v>
      </c>
      <c r="AP156">
        <v>71.641999999999996</v>
      </c>
      <c r="AQ156">
        <v>0.8</v>
      </c>
      <c r="AR156">
        <v>1.206</v>
      </c>
      <c r="AS156">
        <v>65.599000000000004</v>
      </c>
      <c r="AT156">
        <v>3.2</v>
      </c>
      <c r="AY156">
        <v>2.36</v>
      </c>
      <c r="AZ156" t="s">
        <v>712</v>
      </c>
      <c r="BB156" t="s">
        <v>712</v>
      </c>
      <c r="BD156" t="s">
        <v>68</v>
      </c>
      <c r="BE156" t="s">
        <v>721</v>
      </c>
      <c r="BF156" t="s">
        <v>722</v>
      </c>
      <c r="BG156" t="s">
        <v>723</v>
      </c>
      <c r="BH156">
        <v>0</v>
      </c>
      <c r="BI156">
        <v>1</v>
      </c>
      <c r="BJ156">
        <v>2</v>
      </c>
      <c r="BK156" t="s">
        <v>724</v>
      </c>
      <c r="BL156">
        <v>8.8620000000000001</v>
      </c>
      <c r="BM156">
        <v>9.2479999999999993</v>
      </c>
      <c r="BN156" s="2">
        <v>43405</v>
      </c>
      <c r="BO156" s="1">
        <v>0.71282407407407411</v>
      </c>
      <c r="BP156" s="3">
        <f t="shared" si="16"/>
        <v>1.0035663761069322</v>
      </c>
      <c r="BQ156" s="3">
        <f t="shared" si="17"/>
        <v>0.99976547842401475</v>
      </c>
    </row>
    <row r="157" spans="1:69" hidden="1" x14ac:dyDescent="0.35">
      <c r="A157">
        <v>155</v>
      </c>
      <c r="B157">
        <v>3836</v>
      </c>
      <c r="D157">
        <v>22</v>
      </c>
      <c r="E157">
        <v>3</v>
      </c>
      <c r="G157">
        <v>16690</v>
      </c>
      <c r="I157" t="s">
        <v>62</v>
      </c>
      <c r="L157" t="s">
        <v>704</v>
      </c>
      <c r="M157">
        <v>6.03</v>
      </c>
      <c r="N157">
        <v>69.599999999999994</v>
      </c>
      <c r="O157">
        <v>5.65</v>
      </c>
      <c r="P157" s="3">
        <f t="shared" si="12"/>
        <v>0.93698175787728033</v>
      </c>
      <c r="Q157">
        <v>57.6</v>
      </c>
      <c r="R157" s="3">
        <f t="shared" si="13"/>
        <v>0.82758620689655182</v>
      </c>
      <c r="S157">
        <v>325</v>
      </c>
      <c r="T157">
        <v>6.0119999999999996</v>
      </c>
      <c r="U157">
        <v>69.48</v>
      </c>
      <c r="V157">
        <v>5.694</v>
      </c>
      <c r="W157" s="3">
        <f t="shared" si="14"/>
        <v>0.94710578842315374</v>
      </c>
      <c r="X157">
        <v>57.68</v>
      </c>
      <c r="Y157" s="3">
        <f t="shared" si="15"/>
        <v>0.83016695451928613</v>
      </c>
      <c r="Z157">
        <v>328.4</v>
      </c>
      <c r="AA157">
        <v>78.599999999999994</v>
      </c>
      <c r="AB157">
        <v>25.3</v>
      </c>
      <c r="AC157" t="s">
        <v>64</v>
      </c>
      <c r="AE157" t="s">
        <v>65</v>
      </c>
      <c r="AF157" t="s">
        <v>66</v>
      </c>
      <c r="AG157" t="s">
        <v>705</v>
      </c>
      <c r="AH157" s="1">
        <v>0.42596064814814816</v>
      </c>
      <c r="AI157" t="s">
        <v>68</v>
      </c>
      <c r="AJ157" t="s">
        <v>69</v>
      </c>
      <c r="AO157">
        <v>4.8109999999999999</v>
      </c>
      <c r="AP157">
        <v>71.828999999999994</v>
      </c>
      <c r="AQ157">
        <v>0.8</v>
      </c>
      <c r="AR157">
        <v>1.2010000000000001</v>
      </c>
      <c r="AS157">
        <v>65.823999999999998</v>
      </c>
      <c r="AT157">
        <v>3.2</v>
      </c>
      <c r="AY157">
        <v>2.36</v>
      </c>
      <c r="AZ157" t="s">
        <v>185</v>
      </c>
      <c r="BB157" t="s">
        <v>185</v>
      </c>
      <c r="BD157" t="s">
        <v>68</v>
      </c>
      <c r="BE157" t="s">
        <v>725</v>
      </c>
      <c r="BF157" t="s">
        <v>726</v>
      </c>
      <c r="BG157" t="s">
        <v>727</v>
      </c>
      <c r="BH157">
        <v>0</v>
      </c>
      <c r="BI157">
        <v>0</v>
      </c>
      <c r="BJ157">
        <v>2</v>
      </c>
      <c r="BK157" t="s">
        <v>728</v>
      </c>
      <c r="BL157">
        <v>8.8620000000000001</v>
      </c>
      <c r="BM157">
        <v>9.2479999999999993</v>
      </c>
      <c r="BN157" s="2">
        <v>43405</v>
      </c>
      <c r="BO157" s="1">
        <v>0.54567129629629629</v>
      </c>
      <c r="BP157" s="3">
        <f t="shared" si="16"/>
        <v>1.0108049387949765</v>
      </c>
      <c r="BQ157" s="3">
        <f t="shared" si="17"/>
        <v>1.0031184033774707</v>
      </c>
    </row>
    <row r="158" spans="1:69" hidden="1" x14ac:dyDescent="0.35">
      <c r="A158">
        <v>156</v>
      </c>
      <c r="B158">
        <v>3836</v>
      </c>
      <c r="D158">
        <v>22</v>
      </c>
      <c r="E158">
        <v>3</v>
      </c>
      <c r="G158">
        <v>16690</v>
      </c>
      <c r="I158" t="s">
        <v>62</v>
      </c>
      <c r="L158" t="s">
        <v>710</v>
      </c>
      <c r="M158">
        <v>6.03</v>
      </c>
      <c r="N158">
        <v>69.599999999999994</v>
      </c>
      <c r="O158">
        <v>5.65</v>
      </c>
      <c r="P158" s="3">
        <f t="shared" si="12"/>
        <v>0.93698175787728033</v>
      </c>
      <c r="Q158">
        <v>57.6</v>
      </c>
      <c r="R158" s="3">
        <f t="shared" si="13"/>
        <v>0.82758620689655182</v>
      </c>
      <c r="S158">
        <v>325</v>
      </c>
      <c r="T158">
        <v>6.0149999999999997</v>
      </c>
      <c r="U158">
        <v>69.25</v>
      </c>
      <c r="V158">
        <v>5.6470000000000002</v>
      </c>
      <c r="W158" s="3">
        <f t="shared" si="14"/>
        <v>0.93881961762261024</v>
      </c>
      <c r="X158">
        <v>57.2</v>
      </c>
      <c r="Y158" s="3">
        <f t="shared" si="15"/>
        <v>0.82599277978339358</v>
      </c>
      <c r="Z158">
        <v>323</v>
      </c>
      <c r="AA158">
        <v>77.599999999999994</v>
      </c>
      <c r="AB158">
        <v>25</v>
      </c>
      <c r="AC158" t="s">
        <v>64</v>
      </c>
      <c r="AE158" t="s">
        <v>65</v>
      </c>
      <c r="AF158" t="s">
        <v>66</v>
      </c>
      <c r="AG158" t="s">
        <v>711</v>
      </c>
      <c r="AH158" s="1">
        <v>0.66648148148148145</v>
      </c>
      <c r="AI158" t="s">
        <v>68</v>
      </c>
      <c r="AJ158" t="s">
        <v>69</v>
      </c>
      <c r="AO158">
        <v>4.8159999999999998</v>
      </c>
      <c r="AP158">
        <v>71.603999999999999</v>
      </c>
      <c r="AQ158">
        <v>0.8</v>
      </c>
      <c r="AR158">
        <v>1.2110000000000001</v>
      </c>
      <c r="AS158">
        <v>65.448999999999998</v>
      </c>
      <c r="AT158">
        <v>3.2</v>
      </c>
      <c r="AY158">
        <v>2.36</v>
      </c>
      <c r="AZ158" t="s">
        <v>712</v>
      </c>
      <c r="BB158" t="s">
        <v>712</v>
      </c>
      <c r="BD158" t="s">
        <v>68</v>
      </c>
      <c r="BE158" t="s">
        <v>729</v>
      </c>
      <c r="BF158" t="s">
        <v>730</v>
      </c>
      <c r="BG158" t="s">
        <v>731</v>
      </c>
      <c r="BH158">
        <v>0</v>
      </c>
      <c r="BI158">
        <v>1</v>
      </c>
      <c r="BJ158">
        <v>2</v>
      </c>
      <c r="BK158" t="s">
        <v>732</v>
      </c>
      <c r="BL158">
        <v>8.8620000000000001</v>
      </c>
      <c r="BM158">
        <v>9.2479999999999993</v>
      </c>
      <c r="BN158" s="2">
        <v>43405</v>
      </c>
      <c r="BO158" s="1">
        <v>0.54567129629629629</v>
      </c>
      <c r="BP158" s="3">
        <f t="shared" si="16"/>
        <v>1.0019614680113875</v>
      </c>
      <c r="BQ158" s="3">
        <f t="shared" si="17"/>
        <v>0.99807460890493382</v>
      </c>
    </row>
    <row r="159" spans="1:69" hidden="1" x14ac:dyDescent="0.35">
      <c r="A159">
        <v>157</v>
      </c>
      <c r="B159">
        <v>3850</v>
      </c>
      <c r="D159">
        <v>22</v>
      </c>
      <c r="E159">
        <v>3</v>
      </c>
      <c r="G159">
        <v>16690</v>
      </c>
      <c r="I159" t="s">
        <v>62</v>
      </c>
      <c r="L159" t="s">
        <v>704</v>
      </c>
      <c r="M159">
        <v>6.03</v>
      </c>
      <c r="N159">
        <v>69.599999999999994</v>
      </c>
      <c r="O159">
        <v>5.65</v>
      </c>
      <c r="P159" s="3">
        <f t="shared" si="12"/>
        <v>0.93698175787728033</v>
      </c>
      <c r="Q159">
        <v>57.6</v>
      </c>
      <c r="R159" s="3">
        <f t="shared" si="13"/>
        <v>0.82758620689655182</v>
      </c>
      <c r="S159">
        <v>325</v>
      </c>
      <c r="T159">
        <v>6.0049999999999999</v>
      </c>
      <c r="U159">
        <v>69.58</v>
      </c>
      <c r="V159">
        <v>5.6970000000000001</v>
      </c>
      <c r="W159" s="3">
        <f t="shared" si="14"/>
        <v>0.94870940882597843</v>
      </c>
      <c r="X159">
        <v>57.77</v>
      </c>
      <c r="Y159" s="3">
        <f t="shared" si="15"/>
        <v>0.83026731819488364</v>
      </c>
      <c r="Z159">
        <v>329.1</v>
      </c>
      <c r="AA159">
        <v>78.8</v>
      </c>
      <c r="AB159">
        <v>25.2</v>
      </c>
      <c r="AC159" t="s">
        <v>64</v>
      </c>
      <c r="AE159" t="s">
        <v>65</v>
      </c>
      <c r="AF159" t="s">
        <v>66</v>
      </c>
      <c r="AG159" t="s">
        <v>705</v>
      </c>
      <c r="AH159" s="1">
        <v>0.43712962962962965</v>
      </c>
      <c r="AI159" t="s">
        <v>68</v>
      </c>
      <c r="AJ159" t="s">
        <v>69</v>
      </c>
      <c r="AO159">
        <v>4.8159999999999998</v>
      </c>
      <c r="AP159">
        <v>72.242000000000004</v>
      </c>
      <c r="AQ159">
        <v>0.8</v>
      </c>
      <c r="AR159">
        <v>1.2010000000000001</v>
      </c>
      <c r="AS159">
        <v>66.2</v>
      </c>
      <c r="AT159">
        <v>3.2</v>
      </c>
      <c r="AY159">
        <v>2.36</v>
      </c>
      <c r="AZ159" t="s">
        <v>185</v>
      </c>
      <c r="BB159" t="s">
        <v>185</v>
      </c>
      <c r="BD159" t="s">
        <v>68</v>
      </c>
      <c r="BE159" t="s">
        <v>733</v>
      </c>
      <c r="BF159" t="s">
        <v>734</v>
      </c>
      <c r="BG159" t="s">
        <v>735</v>
      </c>
      <c r="BH159">
        <v>0</v>
      </c>
      <c r="BI159">
        <v>0</v>
      </c>
      <c r="BJ159">
        <v>2</v>
      </c>
      <c r="BK159" t="s">
        <v>736</v>
      </c>
      <c r="BL159">
        <v>8.8620000000000001</v>
      </c>
      <c r="BM159">
        <v>9.2479999999999993</v>
      </c>
      <c r="BN159" s="2">
        <v>43405</v>
      </c>
      <c r="BO159" s="1">
        <v>0.74357638888888888</v>
      </c>
      <c r="BP159" s="3">
        <f t="shared" si="16"/>
        <v>1.0125164133133893</v>
      </c>
      <c r="BQ159" s="3">
        <f t="shared" si="17"/>
        <v>1.0032396761521509</v>
      </c>
    </row>
    <row r="160" spans="1:69" hidden="1" x14ac:dyDescent="0.35">
      <c r="A160">
        <v>158</v>
      </c>
      <c r="B160">
        <v>3850</v>
      </c>
      <c r="D160">
        <v>22</v>
      </c>
      <c r="E160">
        <v>3</v>
      </c>
      <c r="G160">
        <v>16690</v>
      </c>
      <c r="I160" t="s">
        <v>62</v>
      </c>
      <c r="L160" t="s">
        <v>710</v>
      </c>
      <c r="M160">
        <v>6.03</v>
      </c>
      <c r="N160">
        <v>69.599999999999994</v>
      </c>
      <c r="O160">
        <v>5.65</v>
      </c>
      <c r="P160" s="3">
        <f t="shared" si="12"/>
        <v>0.93698175787728033</v>
      </c>
      <c r="Q160">
        <v>57.6</v>
      </c>
      <c r="R160" s="3">
        <f t="shared" si="13"/>
        <v>0.82758620689655182</v>
      </c>
      <c r="S160">
        <v>325</v>
      </c>
      <c r="T160">
        <v>6.0090000000000003</v>
      </c>
      <c r="U160">
        <v>69.28</v>
      </c>
      <c r="V160">
        <v>5.6349999999999998</v>
      </c>
      <c r="W160" s="3">
        <f t="shared" si="14"/>
        <v>0.93776002662672653</v>
      </c>
      <c r="X160">
        <v>57.26</v>
      </c>
      <c r="Y160" s="3">
        <f t="shared" si="15"/>
        <v>0.82650115473441099</v>
      </c>
      <c r="Z160">
        <v>322.7</v>
      </c>
      <c r="AA160">
        <v>77.5</v>
      </c>
      <c r="AB160">
        <v>25.2</v>
      </c>
      <c r="AC160" t="s">
        <v>64</v>
      </c>
      <c r="AE160" t="s">
        <v>65</v>
      </c>
      <c r="AF160" t="s">
        <v>66</v>
      </c>
      <c r="AG160" t="s">
        <v>711</v>
      </c>
      <c r="AH160" s="1">
        <v>0.6568518518518518</v>
      </c>
      <c r="AI160" t="s">
        <v>68</v>
      </c>
      <c r="AJ160" t="s">
        <v>69</v>
      </c>
      <c r="AO160">
        <v>1.2110000000000001</v>
      </c>
      <c r="AP160">
        <v>71.641999999999996</v>
      </c>
      <c r="AQ160">
        <v>0.8</v>
      </c>
      <c r="AR160">
        <v>1.2110000000000001</v>
      </c>
      <c r="AS160">
        <v>65.561999999999998</v>
      </c>
      <c r="AT160">
        <v>3.2</v>
      </c>
      <c r="AY160">
        <v>2.36</v>
      </c>
      <c r="AZ160" t="s">
        <v>712</v>
      </c>
      <c r="BB160" t="s">
        <v>712</v>
      </c>
      <c r="BD160" t="s">
        <v>68</v>
      </c>
      <c r="BE160" t="s">
        <v>737</v>
      </c>
      <c r="BF160" t="s">
        <v>738</v>
      </c>
      <c r="BG160" t="s">
        <v>739</v>
      </c>
      <c r="BH160">
        <v>0</v>
      </c>
      <c r="BI160">
        <v>1</v>
      </c>
      <c r="BJ160">
        <v>2</v>
      </c>
      <c r="BK160" t="s">
        <v>740</v>
      </c>
      <c r="BL160">
        <v>8.8620000000000001</v>
      </c>
      <c r="BM160">
        <v>9.2479999999999993</v>
      </c>
      <c r="BN160" s="2">
        <v>43405</v>
      </c>
      <c r="BO160" s="1">
        <v>0.74357638888888888</v>
      </c>
      <c r="BP160" s="3">
        <f t="shared" si="16"/>
        <v>1.000830612488347</v>
      </c>
      <c r="BQ160" s="3">
        <f t="shared" si="17"/>
        <v>0.99868889530407978</v>
      </c>
    </row>
    <row r="161" spans="1:69" hidden="1" x14ac:dyDescent="0.35">
      <c r="A161">
        <v>159</v>
      </c>
      <c r="B161">
        <v>3851</v>
      </c>
      <c r="D161">
        <v>22</v>
      </c>
      <c r="E161">
        <v>3</v>
      </c>
      <c r="G161">
        <v>16690</v>
      </c>
      <c r="I161" t="s">
        <v>62</v>
      </c>
      <c r="L161" t="s">
        <v>704</v>
      </c>
      <c r="M161">
        <v>6.03</v>
      </c>
      <c r="N161">
        <v>69.599999999999994</v>
      </c>
      <c r="O161">
        <v>5.65</v>
      </c>
      <c r="P161" s="3">
        <f t="shared" si="12"/>
        <v>0.93698175787728033</v>
      </c>
      <c r="Q161">
        <v>57.6</v>
      </c>
      <c r="R161" s="3">
        <f t="shared" si="13"/>
        <v>0.82758620689655182</v>
      </c>
      <c r="S161">
        <v>325</v>
      </c>
      <c r="T161">
        <v>6.0090000000000003</v>
      </c>
      <c r="U161">
        <v>69.42</v>
      </c>
      <c r="V161">
        <v>5.6980000000000004</v>
      </c>
      <c r="W161" s="3">
        <f t="shared" si="14"/>
        <v>0.94824430021634221</v>
      </c>
      <c r="X161">
        <v>57.59</v>
      </c>
      <c r="Y161" s="3">
        <f t="shared" si="15"/>
        <v>0.82958801498127344</v>
      </c>
      <c r="Z161">
        <v>328.2</v>
      </c>
      <c r="AA161">
        <v>78.7</v>
      </c>
      <c r="AB161">
        <v>25.4</v>
      </c>
      <c r="AC161" t="s">
        <v>64</v>
      </c>
      <c r="AE161" t="s">
        <v>65</v>
      </c>
      <c r="AF161" t="s">
        <v>66</v>
      </c>
      <c r="AG161" t="s">
        <v>705</v>
      </c>
      <c r="AH161" s="1">
        <v>0.43615740740740738</v>
      </c>
      <c r="AI161" t="s">
        <v>68</v>
      </c>
      <c r="AJ161" t="s">
        <v>69</v>
      </c>
      <c r="AR161">
        <v>1.206</v>
      </c>
      <c r="AS161">
        <v>65.936999999999998</v>
      </c>
      <c r="AT161">
        <v>3.2</v>
      </c>
      <c r="AY161">
        <v>2.36</v>
      </c>
      <c r="AZ161" t="s">
        <v>185</v>
      </c>
      <c r="BB161" t="s">
        <v>185</v>
      </c>
      <c r="BD161" t="s">
        <v>68</v>
      </c>
      <c r="BF161" t="s">
        <v>741</v>
      </c>
      <c r="BG161" t="s">
        <v>742</v>
      </c>
      <c r="BH161">
        <v>0</v>
      </c>
      <c r="BI161">
        <v>0</v>
      </c>
      <c r="BJ161">
        <v>2</v>
      </c>
      <c r="BK161" t="s">
        <v>743</v>
      </c>
      <c r="BL161">
        <v>8.8620000000000001</v>
      </c>
      <c r="BM161">
        <v>9.2479999999999993</v>
      </c>
      <c r="BN161" s="2">
        <v>43405</v>
      </c>
      <c r="BO161" s="1">
        <v>0.74799768518518517</v>
      </c>
      <c r="BP161" s="3">
        <f t="shared" si="16"/>
        <v>1.012020023062751</v>
      </c>
      <c r="BQ161" s="3">
        <f t="shared" si="17"/>
        <v>1.0024188514357053</v>
      </c>
    </row>
    <row r="162" spans="1:69" hidden="1" x14ac:dyDescent="0.35">
      <c r="A162">
        <v>160</v>
      </c>
      <c r="B162">
        <v>3851</v>
      </c>
      <c r="D162">
        <v>22</v>
      </c>
      <c r="E162">
        <v>3</v>
      </c>
      <c r="G162">
        <v>16690</v>
      </c>
      <c r="I162" t="s">
        <v>62</v>
      </c>
      <c r="L162" t="s">
        <v>710</v>
      </c>
      <c r="M162">
        <v>6.03</v>
      </c>
      <c r="N162">
        <v>69.599999999999994</v>
      </c>
      <c r="O162">
        <v>5.65</v>
      </c>
      <c r="P162" s="3">
        <f t="shared" si="12"/>
        <v>0.93698175787728033</v>
      </c>
      <c r="Q162">
        <v>57.6</v>
      </c>
      <c r="R162" s="3">
        <f t="shared" si="13"/>
        <v>0.82758620689655182</v>
      </c>
      <c r="S162">
        <v>325</v>
      </c>
      <c r="T162">
        <v>6.0049999999999999</v>
      </c>
      <c r="U162">
        <v>69.13</v>
      </c>
      <c r="V162">
        <v>5.633</v>
      </c>
      <c r="W162" s="3">
        <f t="shared" si="14"/>
        <v>0.93805162364696093</v>
      </c>
      <c r="X162">
        <v>57.15</v>
      </c>
      <c r="Y162" s="3">
        <f t="shared" si="15"/>
        <v>0.82670331259945029</v>
      </c>
      <c r="Z162">
        <v>321.89999999999998</v>
      </c>
      <c r="AA162">
        <v>77.5</v>
      </c>
      <c r="AB162">
        <v>25.1</v>
      </c>
      <c r="AC162" t="s">
        <v>64</v>
      </c>
      <c r="AE162" t="s">
        <v>65</v>
      </c>
      <c r="AF162" t="s">
        <v>66</v>
      </c>
      <c r="AG162" t="s">
        <v>711</v>
      </c>
      <c r="AH162" s="1">
        <v>0.65806712962962965</v>
      </c>
      <c r="AI162" t="s">
        <v>68</v>
      </c>
      <c r="AJ162" t="s">
        <v>69</v>
      </c>
      <c r="AO162">
        <v>4.8159999999999998</v>
      </c>
      <c r="AP162">
        <v>71.528999999999996</v>
      </c>
      <c r="AQ162">
        <v>0.8</v>
      </c>
      <c r="AR162">
        <v>1.2110000000000001</v>
      </c>
      <c r="AS162">
        <v>65.448999999999998</v>
      </c>
      <c r="AT162">
        <v>3.2</v>
      </c>
      <c r="AY162">
        <v>2.36</v>
      </c>
      <c r="AZ162" t="s">
        <v>712</v>
      </c>
      <c r="BB162" t="s">
        <v>712</v>
      </c>
      <c r="BD162" t="s">
        <v>68</v>
      </c>
      <c r="BE162" t="s">
        <v>744</v>
      </c>
      <c r="BF162" t="s">
        <v>745</v>
      </c>
      <c r="BG162" t="s">
        <v>746</v>
      </c>
      <c r="BH162">
        <v>0</v>
      </c>
      <c r="BI162">
        <v>1</v>
      </c>
      <c r="BJ162">
        <v>2</v>
      </c>
      <c r="BK162" t="s">
        <v>747</v>
      </c>
      <c r="BL162">
        <v>8.8620000000000001</v>
      </c>
      <c r="BM162">
        <v>9.2479999999999993</v>
      </c>
      <c r="BN162" s="2">
        <v>43405</v>
      </c>
      <c r="BO162" s="1">
        <v>0.74799768518518517</v>
      </c>
      <c r="BP162" s="3">
        <f t="shared" si="16"/>
        <v>1.0011418213435705</v>
      </c>
      <c r="BQ162" s="3">
        <f t="shared" si="17"/>
        <v>0.9989331693910023</v>
      </c>
    </row>
    <row r="163" spans="1:69" hidden="1" x14ac:dyDescent="0.35">
      <c r="A163">
        <v>161</v>
      </c>
      <c r="B163">
        <v>3837</v>
      </c>
      <c r="D163">
        <v>22</v>
      </c>
      <c r="E163">
        <v>3</v>
      </c>
      <c r="G163">
        <v>16690</v>
      </c>
      <c r="I163" t="s">
        <v>62</v>
      </c>
      <c r="L163" t="s">
        <v>704</v>
      </c>
      <c r="M163">
        <v>6.03</v>
      </c>
      <c r="N163">
        <v>69.599999999999994</v>
      </c>
      <c r="O163">
        <v>5.65</v>
      </c>
      <c r="P163" s="3">
        <f t="shared" si="12"/>
        <v>0.93698175787728033</v>
      </c>
      <c r="Q163">
        <v>57.6</v>
      </c>
      <c r="R163" s="3">
        <f t="shared" si="13"/>
        <v>0.82758620689655182</v>
      </c>
      <c r="S163">
        <v>325</v>
      </c>
      <c r="T163">
        <v>6.0119999999999996</v>
      </c>
      <c r="U163">
        <v>69.37</v>
      </c>
      <c r="V163">
        <v>5.694</v>
      </c>
      <c r="W163" s="3">
        <f t="shared" si="14"/>
        <v>0.94710578842315374</v>
      </c>
      <c r="X163">
        <v>57.48</v>
      </c>
      <c r="Y163" s="3">
        <f t="shared" si="15"/>
        <v>0.82860025947816052</v>
      </c>
      <c r="Z163">
        <v>327.3</v>
      </c>
      <c r="AA163">
        <v>78.5</v>
      </c>
      <c r="AB163">
        <v>25.3</v>
      </c>
      <c r="AC163" t="s">
        <v>64</v>
      </c>
      <c r="AE163" t="s">
        <v>65</v>
      </c>
      <c r="AF163" t="s">
        <v>66</v>
      </c>
      <c r="AG163" t="s">
        <v>705</v>
      </c>
      <c r="AH163" s="1">
        <v>0.42724537037037036</v>
      </c>
      <c r="AI163" t="s">
        <v>68</v>
      </c>
      <c r="AJ163" t="s">
        <v>69</v>
      </c>
      <c r="AO163">
        <v>4.8109999999999999</v>
      </c>
      <c r="AP163">
        <v>71.792000000000002</v>
      </c>
      <c r="AQ163">
        <v>0.8</v>
      </c>
      <c r="AR163">
        <v>1.2010000000000001</v>
      </c>
      <c r="AS163">
        <v>66.637</v>
      </c>
      <c r="AT163">
        <v>3.2</v>
      </c>
      <c r="AY163">
        <v>2.36</v>
      </c>
      <c r="AZ163" t="s">
        <v>185</v>
      </c>
      <c r="BB163" t="s">
        <v>185</v>
      </c>
      <c r="BD163" t="s">
        <v>68</v>
      </c>
      <c r="BE163" t="s">
        <v>748</v>
      </c>
      <c r="BF163" t="s">
        <v>749</v>
      </c>
      <c r="BG163" t="s">
        <v>750</v>
      </c>
      <c r="BH163">
        <v>0</v>
      </c>
      <c r="BI163">
        <v>0</v>
      </c>
      <c r="BJ163">
        <v>2</v>
      </c>
      <c r="BK163" t="s">
        <v>751</v>
      </c>
      <c r="BL163">
        <v>8.8620000000000001</v>
      </c>
      <c r="BM163">
        <v>9.2479999999999993</v>
      </c>
      <c r="BN163" s="2">
        <v>43405</v>
      </c>
      <c r="BO163" s="1">
        <v>0.55226851851851855</v>
      </c>
      <c r="BP163" s="3">
        <f t="shared" si="16"/>
        <v>1.0108049387949765</v>
      </c>
      <c r="BQ163" s="3">
        <f t="shared" si="17"/>
        <v>1.0012253135361104</v>
      </c>
    </row>
    <row r="164" spans="1:69" hidden="1" x14ac:dyDescent="0.35">
      <c r="A164">
        <v>162</v>
      </c>
      <c r="B164">
        <v>3837</v>
      </c>
      <c r="D164">
        <v>22</v>
      </c>
      <c r="E164">
        <v>3</v>
      </c>
      <c r="G164">
        <v>16690</v>
      </c>
      <c r="I164" t="s">
        <v>62</v>
      </c>
      <c r="L164" t="s">
        <v>710</v>
      </c>
      <c r="M164">
        <v>6.03</v>
      </c>
      <c r="N164">
        <v>69.599999999999994</v>
      </c>
      <c r="O164">
        <v>5.65</v>
      </c>
      <c r="P164" s="3">
        <f t="shared" si="12"/>
        <v>0.93698175787728033</v>
      </c>
      <c r="Q164">
        <v>57.6</v>
      </c>
      <c r="R164" s="3">
        <f t="shared" si="13"/>
        <v>0.82758620689655182</v>
      </c>
      <c r="S164">
        <v>325</v>
      </c>
      <c r="T164">
        <v>6.0170000000000003</v>
      </c>
      <c r="U164">
        <v>69.12</v>
      </c>
      <c r="V164">
        <v>5.64</v>
      </c>
      <c r="W164" s="3">
        <f t="shared" si="14"/>
        <v>0.93734419145753689</v>
      </c>
      <c r="X164">
        <v>56.94</v>
      </c>
      <c r="Y164" s="3">
        <f t="shared" si="15"/>
        <v>0.8237847222222221</v>
      </c>
      <c r="Z164">
        <v>321.2</v>
      </c>
      <c r="AA164">
        <v>77.2</v>
      </c>
      <c r="AB164">
        <v>25</v>
      </c>
      <c r="AC164" t="s">
        <v>64</v>
      </c>
      <c r="AE164" t="s">
        <v>65</v>
      </c>
      <c r="AF164" t="s">
        <v>66</v>
      </c>
      <c r="AG164" t="s">
        <v>711</v>
      </c>
      <c r="AH164" s="1">
        <v>0.66722222222222227</v>
      </c>
      <c r="AI164" t="s">
        <v>68</v>
      </c>
      <c r="AJ164" t="s">
        <v>69</v>
      </c>
      <c r="AO164">
        <v>4.8109999999999999</v>
      </c>
      <c r="AP164">
        <v>71.492000000000004</v>
      </c>
      <c r="AQ164">
        <v>0.8</v>
      </c>
      <c r="AR164">
        <v>1.206</v>
      </c>
      <c r="AS164">
        <v>65.412000000000006</v>
      </c>
      <c r="AT164">
        <v>3.2</v>
      </c>
      <c r="AY164">
        <v>2.36</v>
      </c>
      <c r="AZ164" t="s">
        <v>712</v>
      </c>
      <c r="BB164" t="s">
        <v>712</v>
      </c>
      <c r="BD164" t="s">
        <v>68</v>
      </c>
      <c r="BE164" t="s">
        <v>752</v>
      </c>
      <c r="BF164" t="s">
        <v>753</v>
      </c>
      <c r="BG164" t="s">
        <v>754</v>
      </c>
      <c r="BH164">
        <v>0</v>
      </c>
      <c r="BI164">
        <v>1</v>
      </c>
      <c r="BJ164">
        <v>2</v>
      </c>
      <c r="BK164" t="s">
        <v>755</v>
      </c>
      <c r="BL164">
        <v>8.8620000000000001</v>
      </c>
      <c r="BM164">
        <v>9.2479999999999993</v>
      </c>
      <c r="BN164" s="2">
        <v>43405</v>
      </c>
      <c r="BO164" s="1">
        <v>0.55226851851851855</v>
      </c>
      <c r="BP164" s="3">
        <f t="shared" si="16"/>
        <v>1.0003868096440613</v>
      </c>
      <c r="BQ164" s="3">
        <f t="shared" si="17"/>
        <v>0.99540653935185164</v>
      </c>
    </row>
    <row r="165" spans="1:69" hidden="1" x14ac:dyDescent="0.35">
      <c r="A165">
        <v>163</v>
      </c>
      <c r="B165">
        <v>3849</v>
      </c>
      <c r="D165">
        <v>22</v>
      </c>
      <c r="E165">
        <v>3</v>
      </c>
      <c r="G165">
        <v>16690</v>
      </c>
      <c r="I165" t="s">
        <v>62</v>
      </c>
      <c r="L165" t="s">
        <v>704</v>
      </c>
      <c r="M165">
        <v>6.03</v>
      </c>
      <c r="N165">
        <v>69.599999999999994</v>
      </c>
      <c r="O165">
        <v>5.65</v>
      </c>
      <c r="P165" s="3">
        <f t="shared" si="12"/>
        <v>0.93698175787728033</v>
      </c>
      <c r="Q165">
        <v>57.6</v>
      </c>
      <c r="R165" s="3">
        <f t="shared" si="13"/>
        <v>0.82758620689655182</v>
      </c>
      <c r="S165">
        <v>325</v>
      </c>
      <c r="T165">
        <v>6.0060000000000002</v>
      </c>
      <c r="U165">
        <v>69.459999999999994</v>
      </c>
      <c r="V165">
        <v>5.7</v>
      </c>
      <c r="W165" s="3">
        <f t="shared" si="14"/>
        <v>0.949050949050949</v>
      </c>
      <c r="X165">
        <v>57.73</v>
      </c>
      <c r="Y165" s="3">
        <f t="shared" si="15"/>
        <v>0.83112582781456956</v>
      </c>
      <c r="Z165">
        <v>329.1</v>
      </c>
      <c r="AA165">
        <v>78.900000000000006</v>
      </c>
      <c r="AB165">
        <v>25.4</v>
      </c>
      <c r="AC165" t="s">
        <v>64</v>
      </c>
      <c r="AE165" t="s">
        <v>65</v>
      </c>
      <c r="AF165" t="s">
        <v>66</v>
      </c>
      <c r="AG165" t="s">
        <v>705</v>
      </c>
      <c r="AH165" s="1">
        <v>0.43525462962962963</v>
      </c>
      <c r="AI165" t="s">
        <v>68</v>
      </c>
      <c r="AJ165" t="s">
        <v>69</v>
      </c>
      <c r="AO165">
        <v>4.8109999999999999</v>
      </c>
      <c r="AP165">
        <v>71.867000000000004</v>
      </c>
      <c r="AQ165">
        <v>0.8</v>
      </c>
      <c r="AR165">
        <v>1.206</v>
      </c>
      <c r="AS165">
        <v>65.900000000000006</v>
      </c>
      <c r="AT165">
        <v>3.2</v>
      </c>
      <c r="AY165">
        <v>2.36</v>
      </c>
      <c r="AZ165" t="s">
        <v>185</v>
      </c>
      <c r="BB165" t="s">
        <v>185</v>
      </c>
      <c r="BD165" t="s">
        <v>68</v>
      </c>
      <c r="BE165" t="s">
        <v>756</v>
      </c>
      <c r="BF165" t="s">
        <v>757</v>
      </c>
      <c r="BG165" t="s">
        <v>758</v>
      </c>
      <c r="BH165">
        <v>0</v>
      </c>
      <c r="BI165">
        <v>0</v>
      </c>
      <c r="BJ165">
        <v>2</v>
      </c>
      <c r="BK165" t="s">
        <v>759</v>
      </c>
      <c r="BL165">
        <v>8.8620000000000001</v>
      </c>
      <c r="BM165">
        <v>9.2479999999999993</v>
      </c>
      <c r="BN165" s="2">
        <v>43405</v>
      </c>
      <c r="BO165" s="1">
        <v>0.73700231481481482</v>
      </c>
      <c r="BP165" s="3">
        <f t="shared" si="16"/>
        <v>1.0128809243853489</v>
      </c>
      <c r="BQ165" s="3">
        <f t="shared" si="17"/>
        <v>1.0042770419426048</v>
      </c>
    </row>
    <row r="166" spans="1:69" hidden="1" x14ac:dyDescent="0.35">
      <c r="A166">
        <v>164</v>
      </c>
      <c r="B166">
        <v>3849</v>
      </c>
      <c r="D166">
        <v>22</v>
      </c>
      <c r="E166">
        <v>3</v>
      </c>
      <c r="G166">
        <v>16690</v>
      </c>
      <c r="I166" t="s">
        <v>62</v>
      </c>
      <c r="L166" t="s">
        <v>710</v>
      </c>
      <c r="M166">
        <v>6.03</v>
      </c>
      <c r="N166">
        <v>69.599999999999994</v>
      </c>
      <c r="O166">
        <v>5.65</v>
      </c>
      <c r="P166" s="3">
        <f t="shared" si="12"/>
        <v>0.93698175787728033</v>
      </c>
      <c r="Q166">
        <v>57.6</v>
      </c>
      <c r="R166" s="3">
        <f t="shared" si="13"/>
        <v>0.82758620689655182</v>
      </c>
      <c r="S166">
        <v>325</v>
      </c>
      <c r="T166">
        <v>6.0049999999999999</v>
      </c>
      <c r="U166">
        <v>69.209999999999994</v>
      </c>
      <c r="V166">
        <v>5.6349999999999998</v>
      </c>
      <c r="W166" s="3">
        <f t="shared" si="14"/>
        <v>0.9383846794338051</v>
      </c>
      <c r="X166">
        <v>57.28</v>
      </c>
      <c r="Y166" s="3">
        <f t="shared" si="15"/>
        <v>0.82762606559745711</v>
      </c>
      <c r="Z166">
        <v>322.8</v>
      </c>
      <c r="AA166">
        <v>77.7</v>
      </c>
      <c r="AB166">
        <v>25.1</v>
      </c>
      <c r="AC166" t="s">
        <v>64</v>
      </c>
      <c r="AE166" t="s">
        <v>65</v>
      </c>
      <c r="AF166" t="s">
        <v>66</v>
      </c>
      <c r="AG166" t="s">
        <v>711</v>
      </c>
      <c r="AH166" s="1">
        <v>0.65915509259259264</v>
      </c>
      <c r="AI166" t="s">
        <v>68</v>
      </c>
      <c r="AJ166" t="s">
        <v>69</v>
      </c>
      <c r="AO166">
        <v>4.8109999999999999</v>
      </c>
      <c r="AP166">
        <v>71.599000000000004</v>
      </c>
      <c r="AQ166">
        <v>0.8</v>
      </c>
      <c r="AR166">
        <v>1.2010000000000001</v>
      </c>
      <c r="AS166">
        <v>65.524000000000001</v>
      </c>
      <c r="AT166">
        <v>3.2</v>
      </c>
      <c r="AY166">
        <v>2.36</v>
      </c>
      <c r="AZ166" t="s">
        <v>712</v>
      </c>
      <c r="BB166" t="s">
        <v>712</v>
      </c>
      <c r="BD166" t="s">
        <v>68</v>
      </c>
      <c r="BE166" t="s">
        <v>760</v>
      </c>
      <c r="BF166" t="s">
        <v>761</v>
      </c>
      <c r="BG166" t="s">
        <v>762</v>
      </c>
      <c r="BH166">
        <v>0</v>
      </c>
      <c r="BI166">
        <v>1</v>
      </c>
      <c r="BJ166">
        <v>2</v>
      </c>
      <c r="BK166" t="s">
        <v>763</v>
      </c>
      <c r="BL166">
        <v>8.8620000000000001</v>
      </c>
      <c r="BM166">
        <v>9.2479999999999993</v>
      </c>
      <c r="BN166" s="2">
        <v>43405</v>
      </c>
      <c r="BO166" s="1">
        <v>0.73700231481481482</v>
      </c>
      <c r="BP166" s="3">
        <f t="shared" si="16"/>
        <v>1.0014972773426274</v>
      </c>
      <c r="BQ166" s="3">
        <f t="shared" si="17"/>
        <v>1.0000481625969273</v>
      </c>
    </row>
    <row r="167" spans="1:69" hidden="1" x14ac:dyDescent="0.35">
      <c r="A167">
        <v>165</v>
      </c>
      <c r="B167">
        <v>3833</v>
      </c>
      <c r="D167">
        <v>22</v>
      </c>
      <c r="E167">
        <v>3</v>
      </c>
      <c r="G167">
        <v>16690</v>
      </c>
      <c r="I167" t="s">
        <v>62</v>
      </c>
      <c r="L167" t="s">
        <v>704</v>
      </c>
      <c r="M167">
        <v>6.03</v>
      </c>
      <c r="N167">
        <v>69.599999999999994</v>
      </c>
      <c r="O167">
        <v>5.65</v>
      </c>
      <c r="P167" s="3">
        <f t="shared" si="12"/>
        <v>0.93698175787728033</v>
      </c>
      <c r="Q167">
        <v>57.6</v>
      </c>
      <c r="R167" s="3">
        <f t="shared" si="13"/>
        <v>0.82758620689655182</v>
      </c>
      <c r="S167">
        <v>325</v>
      </c>
      <c r="T167">
        <v>6.0209999999999999</v>
      </c>
      <c r="U167">
        <v>69.39</v>
      </c>
      <c r="V167">
        <v>5.7030000000000003</v>
      </c>
      <c r="W167" s="3">
        <f t="shared" si="14"/>
        <v>0.94718485301444943</v>
      </c>
      <c r="X167">
        <v>57.51</v>
      </c>
      <c r="Y167" s="3">
        <f t="shared" si="15"/>
        <v>0.82879377431906609</v>
      </c>
      <c r="Z167">
        <v>328</v>
      </c>
      <c r="AA167">
        <v>78.5</v>
      </c>
      <c r="AB167">
        <v>25.3</v>
      </c>
      <c r="AC167" t="s">
        <v>64</v>
      </c>
      <c r="AE167" t="s">
        <v>65</v>
      </c>
      <c r="AF167" t="s">
        <v>66</v>
      </c>
      <c r="AG167" t="s">
        <v>705</v>
      </c>
      <c r="AH167" s="1">
        <v>0.4293865740740741</v>
      </c>
      <c r="AI167" t="s">
        <v>68</v>
      </c>
      <c r="AJ167" t="s">
        <v>69</v>
      </c>
      <c r="AO167">
        <v>4.8209999999999997</v>
      </c>
      <c r="AP167">
        <v>71.828999999999994</v>
      </c>
      <c r="AQ167">
        <v>0.8</v>
      </c>
      <c r="AR167">
        <v>1.206</v>
      </c>
      <c r="AS167">
        <v>65.712000000000003</v>
      </c>
      <c r="AT167">
        <v>3.2</v>
      </c>
      <c r="AY167">
        <v>2.36</v>
      </c>
      <c r="AZ167" t="s">
        <v>185</v>
      </c>
      <c r="BB167" t="s">
        <v>185</v>
      </c>
      <c r="BD167" t="s">
        <v>68</v>
      </c>
      <c r="BE167" t="s">
        <v>764</v>
      </c>
      <c r="BF167" t="s">
        <v>765</v>
      </c>
      <c r="BG167" t="s">
        <v>766</v>
      </c>
      <c r="BH167">
        <v>0</v>
      </c>
      <c r="BI167">
        <v>0</v>
      </c>
      <c r="BJ167">
        <v>2</v>
      </c>
      <c r="BK167" t="s">
        <v>767</v>
      </c>
      <c r="BL167">
        <v>8.8620000000000001</v>
      </c>
      <c r="BM167">
        <v>9.2479999999999993</v>
      </c>
      <c r="BN167" s="2">
        <v>43405</v>
      </c>
      <c r="BO167" s="1">
        <v>0.46909722222222222</v>
      </c>
      <c r="BP167" s="3">
        <f t="shared" si="16"/>
        <v>1.0108893210048018</v>
      </c>
      <c r="BQ167" s="3">
        <f t="shared" si="17"/>
        <v>1.0014591439688714</v>
      </c>
    </row>
    <row r="168" spans="1:69" hidden="1" x14ac:dyDescent="0.35">
      <c r="A168">
        <v>166</v>
      </c>
      <c r="B168">
        <v>3833</v>
      </c>
      <c r="D168">
        <v>22</v>
      </c>
      <c r="E168">
        <v>3</v>
      </c>
      <c r="G168">
        <v>16690</v>
      </c>
      <c r="I168" t="s">
        <v>62</v>
      </c>
      <c r="L168" t="s">
        <v>710</v>
      </c>
      <c r="M168">
        <v>6.03</v>
      </c>
      <c r="N168">
        <v>69.599999999999994</v>
      </c>
      <c r="O168">
        <v>5.65</v>
      </c>
      <c r="P168" s="3">
        <f t="shared" si="12"/>
        <v>0.93698175787728033</v>
      </c>
      <c r="Q168">
        <v>57.6</v>
      </c>
      <c r="R168" s="3">
        <f t="shared" si="13"/>
        <v>0.82758620689655182</v>
      </c>
      <c r="S168">
        <v>325</v>
      </c>
      <c r="T168">
        <v>6.0190000000000001</v>
      </c>
      <c r="U168">
        <v>69.16</v>
      </c>
      <c r="V168">
        <v>5.6420000000000003</v>
      </c>
      <c r="W168" s="3">
        <f t="shared" si="14"/>
        <v>0.93736501079913614</v>
      </c>
      <c r="X168">
        <v>57.08</v>
      </c>
      <c r="Y168" s="3">
        <f t="shared" si="15"/>
        <v>0.82533256217466744</v>
      </c>
      <c r="Z168">
        <v>322</v>
      </c>
      <c r="AA168">
        <v>77.400000000000006</v>
      </c>
      <c r="AB168">
        <v>24.9</v>
      </c>
      <c r="AC168" t="s">
        <v>64</v>
      </c>
      <c r="AE168" t="s">
        <v>65</v>
      </c>
      <c r="AF168" t="s">
        <v>66</v>
      </c>
      <c r="AG168" t="s">
        <v>711</v>
      </c>
      <c r="AH168" s="1">
        <v>0.66480324074074071</v>
      </c>
      <c r="AI168" t="s">
        <v>68</v>
      </c>
      <c r="AJ168" t="s">
        <v>69</v>
      </c>
      <c r="AO168">
        <v>4.8159999999999998</v>
      </c>
      <c r="AP168">
        <v>71.492000000000004</v>
      </c>
      <c r="AQ168">
        <v>0.8</v>
      </c>
      <c r="AR168">
        <v>1.2110000000000001</v>
      </c>
      <c r="AS168">
        <v>65.373999999999995</v>
      </c>
      <c r="AT168">
        <v>3.2</v>
      </c>
      <c r="AY168">
        <v>2.36</v>
      </c>
      <c r="AZ168" t="s">
        <v>712</v>
      </c>
      <c r="BB168" t="s">
        <v>712</v>
      </c>
      <c r="BD168" t="s">
        <v>68</v>
      </c>
      <c r="BE168" t="s">
        <v>768</v>
      </c>
      <c r="BF168" t="s">
        <v>769</v>
      </c>
      <c r="BG168" t="s">
        <v>770</v>
      </c>
      <c r="BH168">
        <v>0</v>
      </c>
      <c r="BI168">
        <v>1</v>
      </c>
      <c r="BJ168">
        <v>2</v>
      </c>
      <c r="BK168" t="s">
        <v>771</v>
      </c>
      <c r="BL168">
        <v>8.8620000000000001</v>
      </c>
      <c r="BM168">
        <v>9.2479999999999993</v>
      </c>
      <c r="BN168" s="2">
        <v>43405</v>
      </c>
      <c r="BO168" s="1">
        <v>0.46909722222222222</v>
      </c>
      <c r="BP168" s="3">
        <f t="shared" si="16"/>
        <v>1.0004090292245646</v>
      </c>
      <c r="BQ168" s="3">
        <f t="shared" si="17"/>
        <v>0.99727684596105637</v>
      </c>
    </row>
    <row r="169" spans="1:69" hidden="1" x14ac:dyDescent="0.35">
      <c r="A169">
        <v>167</v>
      </c>
      <c r="B169">
        <v>4086</v>
      </c>
      <c r="D169">
        <v>22</v>
      </c>
      <c r="E169">
        <v>3</v>
      </c>
      <c r="G169">
        <v>16690</v>
      </c>
      <c r="I169" t="s">
        <v>62</v>
      </c>
      <c r="L169" t="s">
        <v>772</v>
      </c>
      <c r="M169">
        <v>6.03</v>
      </c>
      <c r="N169">
        <v>69.599999999999994</v>
      </c>
      <c r="O169">
        <v>5.65</v>
      </c>
      <c r="P169" s="3">
        <f t="shared" si="12"/>
        <v>0.93698175787728033</v>
      </c>
      <c r="Q169">
        <v>57.6</v>
      </c>
      <c r="R169" s="3">
        <f t="shared" si="13"/>
        <v>0.82758620689655182</v>
      </c>
      <c r="S169">
        <v>325</v>
      </c>
      <c r="T169">
        <v>6.0110000000000001</v>
      </c>
      <c r="U169">
        <v>70.459999999999994</v>
      </c>
      <c r="V169">
        <v>5.6849999999999996</v>
      </c>
      <c r="W169" s="3">
        <f t="shared" si="14"/>
        <v>0.94576609549159862</v>
      </c>
      <c r="X169">
        <v>58.63</v>
      </c>
      <c r="Y169" s="3">
        <f t="shared" si="15"/>
        <v>0.8321033210332105</v>
      </c>
      <c r="Z169">
        <v>333.3</v>
      </c>
      <c r="AA169">
        <v>78.7</v>
      </c>
      <c r="AB169">
        <v>25.1</v>
      </c>
      <c r="AC169" t="s">
        <v>64</v>
      </c>
      <c r="AE169" t="s">
        <v>65</v>
      </c>
      <c r="AF169" t="s">
        <v>66</v>
      </c>
      <c r="AG169" t="s">
        <v>705</v>
      </c>
      <c r="AH169" s="1">
        <v>0.4390162037037037</v>
      </c>
      <c r="AI169" t="s">
        <v>68</v>
      </c>
      <c r="AJ169" t="s">
        <v>69</v>
      </c>
      <c r="AO169">
        <v>4.8159999999999998</v>
      </c>
      <c r="AP169">
        <v>73.180999999999997</v>
      </c>
      <c r="AQ169">
        <v>0.8</v>
      </c>
      <c r="AR169">
        <v>1.2010000000000001</v>
      </c>
      <c r="AS169">
        <v>67.100999999999999</v>
      </c>
      <c r="AT169">
        <v>3.2</v>
      </c>
      <c r="AY169">
        <v>2.36</v>
      </c>
      <c r="AZ169" t="s">
        <v>185</v>
      </c>
      <c r="BB169" t="s">
        <v>185</v>
      </c>
      <c r="BD169" t="s">
        <v>68</v>
      </c>
      <c r="BE169" t="s">
        <v>773</v>
      </c>
      <c r="BF169" t="s">
        <v>774</v>
      </c>
      <c r="BG169" t="s">
        <v>775</v>
      </c>
      <c r="BH169">
        <v>0</v>
      </c>
      <c r="BI169">
        <v>0</v>
      </c>
      <c r="BJ169">
        <v>2</v>
      </c>
      <c r="BK169" t="s">
        <v>776</v>
      </c>
      <c r="BL169">
        <v>8.8620000000000001</v>
      </c>
      <c r="BM169">
        <v>8.8620000000000001</v>
      </c>
      <c r="BN169" t="s">
        <v>777</v>
      </c>
      <c r="BO169" s="1">
        <v>0.63552083333333331</v>
      </c>
      <c r="BP169" s="3">
        <f t="shared" si="16"/>
        <v>1.009375142622007</v>
      </c>
      <c r="BQ169" s="3">
        <f t="shared" si="17"/>
        <v>1.0054581795817958</v>
      </c>
    </row>
    <row r="170" spans="1:69" hidden="1" x14ac:dyDescent="0.35">
      <c r="A170">
        <v>168</v>
      </c>
      <c r="B170">
        <v>4086</v>
      </c>
      <c r="D170">
        <v>22</v>
      </c>
      <c r="E170">
        <v>3</v>
      </c>
      <c r="G170">
        <v>16690</v>
      </c>
      <c r="I170" t="s">
        <v>62</v>
      </c>
      <c r="L170" t="s">
        <v>778</v>
      </c>
      <c r="M170">
        <v>6.03</v>
      </c>
      <c r="N170">
        <v>69.599999999999994</v>
      </c>
      <c r="O170">
        <v>5.65</v>
      </c>
      <c r="P170" s="3">
        <f t="shared" si="12"/>
        <v>0.93698175787728033</v>
      </c>
      <c r="Q170">
        <v>57.6</v>
      </c>
      <c r="R170" s="3">
        <f t="shared" si="13"/>
        <v>0.82758620689655182</v>
      </c>
      <c r="S170">
        <v>325</v>
      </c>
      <c r="T170">
        <v>6.0270000000000001</v>
      </c>
      <c r="U170">
        <v>70.41</v>
      </c>
      <c r="V170">
        <v>5.61</v>
      </c>
      <c r="W170" s="3">
        <f t="shared" si="14"/>
        <v>0.93081134892981587</v>
      </c>
      <c r="X170">
        <v>58.34</v>
      </c>
      <c r="Y170" s="3">
        <f t="shared" si="15"/>
        <v>0.82857548643658585</v>
      </c>
      <c r="Z170">
        <v>327.2</v>
      </c>
      <c r="AA170">
        <v>77.099999999999994</v>
      </c>
      <c r="AB170">
        <v>24.9</v>
      </c>
      <c r="AC170" t="s">
        <v>64</v>
      </c>
      <c r="AE170" t="s">
        <v>65</v>
      </c>
      <c r="AF170" t="s">
        <v>66</v>
      </c>
      <c r="AG170" t="s">
        <v>711</v>
      </c>
      <c r="AH170" s="1">
        <v>0.63916666666666666</v>
      </c>
      <c r="AI170" t="s">
        <v>68</v>
      </c>
      <c r="AJ170" t="s">
        <v>69</v>
      </c>
      <c r="AO170">
        <v>4.8159999999999998</v>
      </c>
      <c r="AP170">
        <v>72.918000000000006</v>
      </c>
      <c r="AQ170">
        <v>0.8</v>
      </c>
      <c r="AR170">
        <v>1.2110000000000001</v>
      </c>
      <c r="AS170">
        <v>66.8</v>
      </c>
      <c r="AT170">
        <v>3.2</v>
      </c>
      <c r="AY170">
        <v>2.36</v>
      </c>
      <c r="AZ170" t="s">
        <v>712</v>
      </c>
      <c r="BB170" t="s">
        <v>712</v>
      </c>
      <c r="BD170" t="s">
        <v>68</v>
      </c>
      <c r="BE170" t="s">
        <v>779</v>
      </c>
      <c r="BF170" t="s">
        <v>780</v>
      </c>
      <c r="BG170" t="s">
        <v>781</v>
      </c>
      <c r="BH170">
        <v>0</v>
      </c>
      <c r="BI170">
        <v>1</v>
      </c>
      <c r="BJ170">
        <v>2</v>
      </c>
      <c r="BK170" t="s">
        <v>782</v>
      </c>
      <c r="BL170">
        <v>8.8620000000000001</v>
      </c>
      <c r="BM170">
        <v>8.8620000000000001</v>
      </c>
      <c r="BN170" t="s">
        <v>777</v>
      </c>
      <c r="BO170" s="1">
        <v>0.63552083333333331</v>
      </c>
      <c r="BP170" s="3">
        <f t="shared" si="16"/>
        <v>0.99341459009677691</v>
      </c>
      <c r="BQ170" s="3">
        <f t="shared" si="17"/>
        <v>1.0011953794442079</v>
      </c>
    </row>
    <row r="171" spans="1:69" hidden="1" x14ac:dyDescent="0.35">
      <c r="A171">
        <v>169</v>
      </c>
      <c r="B171">
        <v>3842</v>
      </c>
      <c r="D171">
        <v>22</v>
      </c>
      <c r="E171">
        <v>3</v>
      </c>
      <c r="G171">
        <v>16690</v>
      </c>
      <c r="I171" t="s">
        <v>62</v>
      </c>
      <c r="L171" t="s">
        <v>704</v>
      </c>
      <c r="M171">
        <v>6.03</v>
      </c>
      <c r="N171">
        <v>69.599999999999994</v>
      </c>
      <c r="O171">
        <v>5.65</v>
      </c>
      <c r="P171" s="3">
        <f t="shared" si="12"/>
        <v>0.93698175787728033</v>
      </c>
      <c r="Q171">
        <v>57.6</v>
      </c>
      <c r="R171" s="3">
        <f t="shared" si="13"/>
        <v>0.82758620689655182</v>
      </c>
      <c r="S171">
        <v>325</v>
      </c>
      <c r="T171">
        <v>6.016</v>
      </c>
      <c r="U171">
        <v>69.540000000000006</v>
      </c>
      <c r="V171">
        <v>5.7039999999999997</v>
      </c>
      <c r="W171" s="3">
        <f t="shared" si="14"/>
        <v>0.94813829787234039</v>
      </c>
      <c r="X171">
        <v>57.7</v>
      </c>
      <c r="Y171" s="3">
        <f t="shared" si="15"/>
        <v>0.82973828012654582</v>
      </c>
      <c r="Z171">
        <v>329.1</v>
      </c>
      <c r="AA171">
        <v>78.7</v>
      </c>
      <c r="AB171">
        <v>25.3</v>
      </c>
      <c r="AC171" t="s">
        <v>64</v>
      </c>
      <c r="AE171" t="s">
        <v>65</v>
      </c>
      <c r="AF171" t="s">
        <v>66</v>
      </c>
      <c r="AG171" t="s">
        <v>705</v>
      </c>
      <c r="AH171" s="1">
        <v>0.43135416666666665</v>
      </c>
      <c r="AI171" t="s">
        <v>68</v>
      </c>
      <c r="AJ171" t="s">
        <v>69</v>
      </c>
      <c r="AO171">
        <v>4.806</v>
      </c>
      <c r="AP171">
        <v>71.98</v>
      </c>
      <c r="AQ171">
        <v>0.8</v>
      </c>
      <c r="AR171">
        <v>1.2010000000000001</v>
      </c>
      <c r="AS171">
        <v>66.900000000000006</v>
      </c>
      <c r="AT171">
        <v>3.2</v>
      </c>
      <c r="AY171">
        <v>2.36</v>
      </c>
      <c r="AZ171" t="s">
        <v>185</v>
      </c>
      <c r="BB171" t="s">
        <v>185</v>
      </c>
      <c r="BD171" t="s">
        <v>68</v>
      </c>
      <c r="BE171" t="s">
        <v>783</v>
      </c>
      <c r="BF171" t="s">
        <v>784</v>
      </c>
      <c r="BG171" t="s">
        <v>785</v>
      </c>
      <c r="BH171">
        <v>0</v>
      </c>
      <c r="BI171">
        <v>0</v>
      </c>
      <c r="BJ171">
        <v>2</v>
      </c>
      <c r="BK171" t="s">
        <v>786</v>
      </c>
      <c r="BL171">
        <v>8.8620000000000001</v>
      </c>
      <c r="BM171">
        <v>9.2479999999999993</v>
      </c>
      <c r="BN171" s="2">
        <v>43405</v>
      </c>
      <c r="BO171" s="1">
        <v>0.69467592592592597</v>
      </c>
      <c r="BP171" s="3">
        <f t="shared" si="16"/>
        <v>1.0119068913575597</v>
      </c>
      <c r="BQ171" s="3">
        <f t="shared" si="17"/>
        <v>1.0026004218195761</v>
      </c>
    </row>
    <row r="172" spans="1:69" hidden="1" x14ac:dyDescent="0.35">
      <c r="A172">
        <v>170</v>
      </c>
      <c r="B172">
        <v>3842</v>
      </c>
      <c r="D172">
        <v>22</v>
      </c>
      <c r="E172">
        <v>3</v>
      </c>
      <c r="G172">
        <v>16690</v>
      </c>
      <c r="I172" t="s">
        <v>62</v>
      </c>
      <c r="L172" t="s">
        <v>710</v>
      </c>
      <c r="M172">
        <v>6.03</v>
      </c>
      <c r="N172">
        <v>69.599999999999994</v>
      </c>
      <c r="O172">
        <v>5.65</v>
      </c>
      <c r="P172" s="3">
        <f t="shared" si="12"/>
        <v>0.93698175787728033</v>
      </c>
      <c r="Q172">
        <v>57.6</v>
      </c>
      <c r="R172" s="3">
        <f t="shared" si="13"/>
        <v>0.82758620689655182</v>
      </c>
      <c r="S172">
        <v>325</v>
      </c>
      <c r="T172">
        <v>6.0209999999999999</v>
      </c>
      <c r="U172">
        <v>69.3</v>
      </c>
      <c r="V172">
        <v>5.649</v>
      </c>
      <c r="W172" s="3">
        <f t="shared" si="14"/>
        <v>0.93821624314897856</v>
      </c>
      <c r="X172">
        <v>57.22</v>
      </c>
      <c r="Y172" s="3">
        <f t="shared" si="15"/>
        <v>0.82568542568542569</v>
      </c>
      <c r="Z172">
        <v>323.2</v>
      </c>
      <c r="AA172">
        <v>77.5</v>
      </c>
      <c r="AB172">
        <v>25.1</v>
      </c>
      <c r="AC172" t="s">
        <v>64</v>
      </c>
      <c r="AE172" t="s">
        <v>65</v>
      </c>
      <c r="AF172" t="s">
        <v>66</v>
      </c>
      <c r="AG172" t="s">
        <v>711</v>
      </c>
      <c r="AH172" s="1">
        <v>0.66120370370370374</v>
      </c>
      <c r="AI172" t="s">
        <v>68</v>
      </c>
      <c r="AJ172" t="s">
        <v>69</v>
      </c>
      <c r="AR172">
        <v>1.2110000000000001</v>
      </c>
      <c r="AS172">
        <v>65.599000000000004</v>
      </c>
      <c r="AT172">
        <v>3.2</v>
      </c>
      <c r="AY172">
        <v>2.36</v>
      </c>
      <c r="AZ172" t="s">
        <v>712</v>
      </c>
      <c r="BB172" t="s">
        <v>712</v>
      </c>
      <c r="BD172" t="s">
        <v>68</v>
      </c>
      <c r="BF172" t="s">
        <v>787</v>
      </c>
      <c r="BG172" t="s">
        <v>788</v>
      </c>
      <c r="BH172">
        <v>0</v>
      </c>
      <c r="BI172">
        <v>1</v>
      </c>
      <c r="BJ172">
        <v>2</v>
      </c>
      <c r="BK172" t="s">
        <v>789</v>
      </c>
      <c r="BL172">
        <v>8.8620000000000001</v>
      </c>
      <c r="BM172">
        <v>9.2479999999999993</v>
      </c>
      <c r="BN172" s="2">
        <v>43405</v>
      </c>
      <c r="BO172" s="1">
        <v>0.69467592592592597</v>
      </c>
      <c r="BP172" s="3">
        <f t="shared" si="16"/>
        <v>1.0013175125997062</v>
      </c>
      <c r="BQ172" s="3">
        <f t="shared" si="17"/>
        <v>0.99770322270322254</v>
      </c>
    </row>
    <row r="173" spans="1:69" hidden="1" x14ac:dyDescent="0.35">
      <c r="A173">
        <v>171</v>
      </c>
      <c r="B173">
        <v>3832</v>
      </c>
      <c r="D173">
        <v>22</v>
      </c>
      <c r="E173">
        <v>3</v>
      </c>
      <c r="G173">
        <v>16690</v>
      </c>
      <c r="I173" t="s">
        <v>62</v>
      </c>
      <c r="L173" t="s">
        <v>704</v>
      </c>
      <c r="M173">
        <v>6.03</v>
      </c>
      <c r="N173">
        <v>69.599999999999994</v>
      </c>
      <c r="O173">
        <v>5.65</v>
      </c>
      <c r="P173" s="3">
        <f t="shared" si="12"/>
        <v>0.93698175787728033</v>
      </c>
      <c r="Q173">
        <v>57.6</v>
      </c>
      <c r="R173" s="3">
        <f t="shared" si="13"/>
        <v>0.82758620689655182</v>
      </c>
      <c r="S173">
        <v>325</v>
      </c>
      <c r="T173">
        <v>6.0090000000000003</v>
      </c>
      <c r="U173">
        <v>69.459999999999994</v>
      </c>
      <c r="V173">
        <v>5.7</v>
      </c>
      <c r="W173" s="3">
        <f t="shared" si="14"/>
        <v>0.94857713429855217</v>
      </c>
      <c r="X173">
        <v>57.61</v>
      </c>
      <c r="Y173" s="3">
        <f t="shared" si="15"/>
        <v>0.82939821479988485</v>
      </c>
      <c r="Z173">
        <v>328.4</v>
      </c>
      <c r="AA173">
        <v>78.7</v>
      </c>
      <c r="AB173">
        <v>25.2</v>
      </c>
      <c r="AC173" t="s">
        <v>64</v>
      </c>
      <c r="AE173" t="s">
        <v>65</v>
      </c>
      <c r="AF173" t="s">
        <v>66</v>
      </c>
      <c r="AG173" t="s">
        <v>705</v>
      </c>
      <c r="AH173" s="1">
        <v>0.42827546296296298</v>
      </c>
      <c r="AI173" t="s">
        <v>68</v>
      </c>
      <c r="AJ173" t="s">
        <v>69</v>
      </c>
      <c r="AO173">
        <v>4.8109999999999999</v>
      </c>
      <c r="AP173">
        <v>71.867000000000004</v>
      </c>
      <c r="AQ173">
        <v>0.8</v>
      </c>
      <c r="AR173">
        <v>1.2010000000000001</v>
      </c>
      <c r="AS173">
        <v>66.787000000000006</v>
      </c>
      <c r="AT173">
        <v>3.2</v>
      </c>
      <c r="AY173">
        <v>2.36</v>
      </c>
      <c r="AZ173" t="s">
        <v>185</v>
      </c>
      <c r="BB173" t="s">
        <v>185</v>
      </c>
      <c r="BD173" t="s">
        <v>68</v>
      </c>
      <c r="BE173" t="s">
        <v>790</v>
      </c>
      <c r="BF173" t="s">
        <v>791</v>
      </c>
      <c r="BG173" t="s">
        <v>792</v>
      </c>
      <c r="BH173">
        <v>0</v>
      </c>
      <c r="BI173">
        <v>0</v>
      </c>
      <c r="BJ173">
        <v>2</v>
      </c>
      <c r="BK173" t="s">
        <v>793</v>
      </c>
      <c r="BL173">
        <v>8.8620000000000001</v>
      </c>
      <c r="BM173">
        <v>9.2479999999999993</v>
      </c>
      <c r="BN173" s="2">
        <v>43405</v>
      </c>
      <c r="BO173" s="1">
        <v>0.46233796296296298</v>
      </c>
      <c r="BP173" s="3">
        <f t="shared" si="16"/>
        <v>1.0123752424460652</v>
      </c>
      <c r="BQ173" s="3">
        <f t="shared" si="17"/>
        <v>1.0021895095498607</v>
      </c>
    </row>
    <row r="174" spans="1:69" hidden="1" x14ac:dyDescent="0.35">
      <c r="A174">
        <v>172</v>
      </c>
      <c r="B174">
        <v>3832</v>
      </c>
      <c r="D174">
        <v>22</v>
      </c>
      <c r="E174">
        <v>3</v>
      </c>
      <c r="G174">
        <v>16690</v>
      </c>
      <c r="I174" t="s">
        <v>62</v>
      </c>
      <c r="L174" t="s">
        <v>710</v>
      </c>
      <c r="M174">
        <v>6.03</v>
      </c>
      <c r="N174">
        <v>69.599999999999994</v>
      </c>
      <c r="O174">
        <v>5.65</v>
      </c>
      <c r="P174" s="3">
        <f t="shared" si="12"/>
        <v>0.93698175787728033</v>
      </c>
      <c r="Q174">
        <v>57.6</v>
      </c>
      <c r="R174" s="3">
        <f t="shared" si="13"/>
        <v>0.82758620689655182</v>
      </c>
      <c r="S174">
        <v>325</v>
      </c>
      <c r="T174">
        <v>6.0119999999999996</v>
      </c>
      <c r="U174">
        <v>69.23</v>
      </c>
      <c r="V174">
        <v>5.6420000000000003</v>
      </c>
      <c r="W174" s="3">
        <f t="shared" si="14"/>
        <v>0.93845642049234879</v>
      </c>
      <c r="X174">
        <v>57.15</v>
      </c>
      <c r="Y174" s="3">
        <f t="shared" si="15"/>
        <v>0.8255091723241369</v>
      </c>
      <c r="Z174">
        <v>322.39999999999998</v>
      </c>
      <c r="AA174">
        <v>77.5</v>
      </c>
      <c r="AB174">
        <v>25</v>
      </c>
      <c r="AC174" t="s">
        <v>64</v>
      </c>
      <c r="AE174" t="s">
        <v>65</v>
      </c>
      <c r="AF174" t="s">
        <v>66</v>
      </c>
      <c r="AG174" t="s">
        <v>711</v>
      </c>
      <c r="AH174" s="1">
        <v>0.66402777777777777</v>
      </c>
      <c r="AI174" t="s">
        <v>68</v>
      </c>
      <c r="AJ174" t="s">
        <v>69</v>
      </c>
      <c r="AO174">
        <v>4.8159999999999998</v>
      </c>
      <c r="AP174">
        <v>71.528999999999996</v>
      </c>
      <c r="AQ174">
        <v>0.8</v>
      </c>
      <c r="AR174">
        <v>1.2110000000000001</v>
      </c>
      <c r="AS174">
        <v>65.412000000000006</v>
      </c>
      <c r="AT174">
        <v>3.2</v>
      </c>
      <c r="AY174">
        <v>2.36</v>
      </c>
      <c r="AZ174" t="s">
        <v>712</v>
      </c>
      <c r="BB174" t="s">
        <v>712</v>
      </c>
      <c r="BD174" t="s">
        <v>68</v>
      </c>
      <c r="BE174" t="s">
        <v>794</v>
      </c>
      <c r="BF174" t="s">
        <v>795</v>
      </c>
      <c r="BG174" t="s">
        <v>796</v>
      </c>
      <c r="BH174">
        <v>0</v>
      </c>
      <c r="BI174">
        <v>1</v>
      </c>
      <c r="BJ174">
        <v>2</v>
      </c>
      <c r="BK174" t="s">
        <v>797</v>
      </c>
      <c r="BL174">
        <v>8.8620000000000001</v>
      </c>
      <c r="BM174">
        <v>9.2479999999999993</v>
      </c>
      <c r="BN174" s="2">
        <v>43405</v>
      </c>
      <c r="BO174" s="1">
        <v>0.46233796296296298</v>
      </c>
      <c r="BP174" s="3">
        <f t="shared" si="16"/>
        <v>1.0015738434635155</v>
      </c>
      <c r="BQ174" s="3">
        <f t="shared" si="17"/>
        <v>0.99749024989166535</v>
      </c>
    </row>
    <row r="175" spans="1:69" hidden="1" x14ac:dyDescent="0.35">
      <c r="A175">
        <v>173</v>
      </c>
      <c r="B175">
        <v>3831</v>
      </c>
      <c r="D175">
        <v>22</v>
      </c>
      <c r="E175">
        <v>3</v>
      </c>
      <c r="G175">
        <v>16690</v>
      </c>
      <c r="I175" t="s">
        <v>62</v>
      </c>
      <c r="L175" t="s">
        <v>704</v>
      </c>
      <c r="M175">
        <v>6.03</v>
      </c>
      <c r="N175">
        <v>69.599999999999994</v>
      </c>
      <c r="O175">
        <v>5.65</v>
      </c>
      <c r="P175" s="3">
        <f t="shared" si="12"/>
        <v>0.93698175787728033</v>
      </c>
      <c r="Q175">
        <v>57.6</v>
      </c>
      <c r="R175" s="3">
        <f t="shared" si="13"/>
        <v>0.82758620689655182</v>
      </c>
      <c r="S175">
        <v>325</v>
      </c>
      <c r="T175">
        <v>6.0149999999999997</v>
      </c>
      <c r="U175">
        <v>69.47</v>
      </c>
      <c r="V175">
        <v>5.6920000000000002</v>
      </c>
      <c r="W175" s="3">
        <f t="shared" si="14"/>
        <v>0.94630091438071495</v>
      </c>
      <c r="X175">
        <v>57.6</v>
      </c>
      <c r="Y175" s="3">
        <f t="shared" si="15"/>
        <v>0.82913487836476185</v>
      </c>
      <c r="Z175">
        <v>327.9</v>
      </c>
      <c r="AA175">
        <v>78.5</v>
      </c>
      <c r="AB175">
        <v>25.3</v>
      </c>
      <c r="AC175" t="s">
        <v>64</v>
      </c>
      <c r="AE175" t="s">
        <v>65</v>
      </c>
      <c r="AF175" t="s">
        <v>66</v>
      </c>
      <c r="AG175" t="s">
        <v>705</v>
      </c>
      <c r="AH175" s="1">
        <v>0.43030092592592595</v>
      </c>
      <c r="AI175" t="s">
        <v>68</v>
      </c>
      <c r="AJ175" t="s">
        <v>69</v>
      </c>
      <c r="AO175">
        <v>4.8159999999999998</v>
      </c>
      <c r="AP175">
        <v>71.941999999999993</v>
      </c>
      <c r="AQ175">
        <v>0.8</v>
      </c>
      <c r="AR175">
        <v>1.206</v>
      </c>
      <c r="AS175">
        <v>65.823999999999998</v>
      </c>
      <c r="AT175">
        <v>3.2</v>
      </c>
      <c r="AY175">
        <v>2.36</v>
      </c>
      <c r="AZ175" t="s">
        <v>185</v>
      </c>
      <c r="BB175" t="s">
        <v>185</v>
      </c>
      <c r="BD175" t="s">
        <v>68</v>
      </c>
      <c r="BE175" t="s">
        <v>798</v>
      </c>
      <c r="BF175" t="s">
        <v>799</v>
      </c>
      <c r="BG175" t="s">
        <v>800</v>
      </c>
      <c r="BH175">
        <v>0</v>
      </c>
      <c r="BI175">
        <v>0</v>
      </c>
      <c r="BJ175">
        <v>2</v>
      </c>
      <c r="BK175" t="s">
        <v>801</v>
      </c>
      <c r="BL175">
        <v>8.8620000000000001</v>
      </c>
      <c r="BM175">
        <v>9.2479999999999993</v>
      </c>
      <c r="BN175" s="2">
        <v>43405</v>
      </c>
      <c r="BO175" s="1">
        <v>0.45649305555555558</v>
      </c>
      <c r="BP175" s="3">
        <f t="shared" si="16"/>
        <v>1.0099459316310992</v>
      </c>
      <c r="BQ175" s="3">
        <f t="shared" si="17"/>
        <v>1.0018713113574205</v>
      </c>
    </row>
    <row r="176" spans="1:69" hidden="1" x14ac:dyDescent="0.35">
      <c r="A176">
        <v>174</v>
      </c>
      <c r="B176">
        <v>3831</v>
      </c>
      <c r="D176">
        <v>22</v>
      </c>
      <c r="E176">
        <v>3</v>
      </c>
      <c r="G176">
        <v>16690</v>
      </c>
      <c r="I176" t="s">
        <v>62</v>
      </c>
      <c r="L176" t="s">
        <v>710</v>
      </c>
      <c r="M176">
        <v>6.03</v>
      </c>
      <c r="N176">
        <v>69.599999999999994</v>
      </c>
      <c r="O176">
        <v>5.65</v>
      </c>
      <c r="P176" s="3">
        <f t="shared" si="12"/>
        <v>0.93698175787728033</v>
      </c>
      <c r="Q176">
        <v>57.6</v>
      </c>
      <c r="R176" s="3">
        <f t="shared" si="13"/>
        <v>0.82758620689655182</v>
      </c>
      <c r="S176">
        <v>325</v>
      </c>
      <c r="T176">
        <v>6.0140000000000002</v>
      </c>
      <c r="U176">
        <v>69.23</v>
      </c>
      <c r="V176">
        <v>5.6269999999999998</v>
      </c>
      <c r="W176" s="3">
        <f t="shared" si="14"/>
        <v>0.93565014965081472</v>
      </c>
      <c r="X176">
        <v>57.18</v>
      </c>
      <c r="Y176" s="3">
        <f t="shared" si="15"/>
        <v>0.82594251047233858</v>
      </c>
      <c r="Z176">
        <v>321.8</v>
      </c>
      <c r="AA176">
        <v>77.3</v>
      </c>
      <c r="AB176">
        <v>25</v>
      </c>
      <c r="AC176" t="s">
        <v>64</v>
      </c>
      <c r="AE176" t="s">
        <v>65</v>
      </c>
      <c r="AF176" t="s">
        <v>66</v>
      </c>
      <c r="AG176" t="s">
        <v>711</v>
      </c>
      <c r="AH176" s="1">
        <v>0.66565972222222225</v>
      </c>
      <c r="AI176" t="s">
        <v>68</v>
      </c>
      <c r="AJ176" t="s">
        <v>69</v>
      </c>
      <c r="AO176">
        <v>1.206</v>
      </c>
      <c r="AP176">
        <v>71.566999999999993</v>
      </c>
      <c r="AQ176">
        <v>0.8</v>
      </c>
      <c r="AR176">
        <v>1.206</v>
      </c>
      <c r="AS176">
        <v>65.524000000000001</v>
      </c>
      <c r="AT176">
        <v>3.2</v>
      </c>
      <c r="AY176">
        <v>2.36</v>
      </c>
      <c r="AZ176" t="s">
        <v>712</v>
      </c>
      <c r="BB176" t="s">
        <v>712</v>
      </c>
      <c r="BD176" t="s">
        <v>68</v>
      </c>
      <c r="BE176" t="s">
        <v>802</v>
      </c>
      <c r="BF176" t="s">
        <v>803</v>
      </c>
      <c r="BG176" t="s">
        <v>804</v>
      </c>
      <c r="BH176">
        <v>0</v>
      </c>
      <c r="BI176">
        <v>1</v>
      </c>
      <c r="BJ176">
        <v>2</v>
      </c>
      <c r="BK176" t="s">
        <v>805</v>
      </c>
      <c r="BL176">
        <v>8.8620000000000001</v>
      </c>
      <c r="BM176">
        <v>9.2479999999999993</v>
      </c>
      <c r="BN176" s="2">
        <v>43405</v>
      </c>
      <c r="BO176" s="1">
        <v>0.45649305555555558</v>
      </c>
      <c r="BP176" s="3">
        <f t="shared" si="16"/>
        <v>0.9985788322821969</v>
      </c>
      <c r="BQ176" s="3">
        <f t="shared" si="17"/>
        <v>0.99801386682074233</v>
      </c>
    </row>
    <row r="177" spans="1:69" hidden="1" x14ac:dyDescent="0.35">
      <c r="A177">
        <v>175</v>
      </c>
      <c r="B177">
        <v>3843</v>
      </c>
      <c r="D177">
        <v>22</v>
      </c>
      <c r="E177">
        <v>3</v>
      </c>
      <c r="G177">
        <v>16690</v>
      </c>
      <c r="I177" t="s">
        <v>62</v>
      </c>
      <c r="L177" t="s">
        <v>704</v>
      </c>
      <c r="M177">
        <v>6.03</v>
      </c>
      <c r="N177">
        <v>69.599999999999994</v>
      </c>
      <c r="O177">
        <v>5.65</v>
      </c>
      <c r="P177" s="3">
        <f t="shared" si="12"/>
        <v>0.93698175787728033</v>
      </c>
      <c r="Q177">
        <v>57.6</v>
      </c>
      <c r="R177" s="3">
        <f t="shared" si="13"/>
        <v>0.82758620689655182</v>
      </c>
      <c r="S177">
        <v>325</v>
      </c>
      <c r="T177">
        <v>6.0010000000000003</v>
      </c>
      <c r="U177">
        <v>69.55</v>
      </c>
      <c r="V177">
        <v>5.6959999999999997</v>
      </c>
      <c r="W177" s="3">
        <f t="shared" si="14"/>
        <v>0.94917513747708704</v>
      </c>
      <c r="X177">
        <v>57.72</v>
      </c>
      <c r="Y177" s="3">
        <f t="shared" si="15"/>
        <v>0.82990654205607484</v>
      </c>
      <c r="Z177">
        <v>328.8</v>
      </c>
      <c r="AA177">
        <v>78.8</v>
      </c>
      <c r="AB177">
        <v>25.4</v>
      </c>
      <c r="AC177" t="s">
        <v>64</v>
      </c>
      <c r="AE177" t="s">
        <v>65</v>
      </c>
      <c r="AF177" t="s">
        <v>66</v>
      </c>
      <c r="AG177" t="s">
        <v>705</v>
      </c>
      <c r="AH177" s="1">
        <v>0.43230324074074072</v>
      </c>
      <c r="AI177" t="s">
        <v>68</v>
      </c>
      <c r="AJ177" t="s">
        <v>69</v>
      </c>
      <c r="AO177">
        <v>4.8109999999999999</v>
      </c>
      <c r="AP177">
        <v>71.98</v>
      </c>
      <c r="AQ177">
        <v>0.8</v>
      </c>
      <c r="AR177">
        <v>1.2010000000000001</v>
      </c>
      <c r="AS177">
        <v>66.682000000000002</v>
      </c>
      <c r="AT177">
        <v>3.2</v>
      </c>
      <c r="AY177">
        <v>2.36</v>
      </c>
      <c r="AZ177" t="s">
        <v>185</v>
      </c>
      <c r="BB177" t="s">
        <v>185</v>
      </c>
      <c r="BD177" t="s">
        <v>68</v>
      </c>
      <c r="BE177" t="s">
        <v>806</v>
      </c>
      <c r="BF177" t="s">
        <v>807</v>
      </c>
      <c r="BG177" t="s">
        <v>808</v>
      </c>
      <c r="BH177">
        <v>0</v>
      </c>
      <c r="BI177">
        <v>0</v>
      </c>
      <c r="BJ177">
        <v>2</v>
      </c>
      <c r="BK177" t="s">
        <v>809</v>
      </c>
      <c r="BL177">
        <v>8.8620000000000001</v>
      </c>
      <c r="BM177">
        <v>9.2479999999999993</v>
      </c>
      <c r="BN177" s="2">
        <v>43405</v>
      </c>
      <c r="BO177" s="1">
        <v>0.70197916666666671</v>
      </c>
      <c r="BP177" s="3">
        <f t="shared" si="16"/>
        <v>1.0130134653074043</v>
      </c>
      <c r="BQ177" s="3">
        <f t="shared" si="17"/>
        <v>1.002803738317757</v>
      </c>
    </row>
    <row r="178" spans="1:69" hidden="1" x14ac:dyDescent="0.35">
      <c r="A178">
        <v>176</v>
      </c>
      <c r="B178">
        <v>3843</v>
      </c>
      <c r="D178">
        <v>22</v>
      </c>
      <c r="E178">
        <v>3</v>
      </c>
      <c r="G178">
        <v>16690</v>
      </c>
      <c r="I178" t="s">
        <v>62</v>
      </c>
      <c r="L178" t="s">
        <v>710</v>
      </c>
      <c r="M178">
        <v>6.03</v>
      </c>
      <c r="N178">
        <v>69.599999999999994</v>
      </c>
      <c r="O178">
        <v>5.65</v>
      </c>
      <c r="P178" s="3">
        <f t="shared" si="12"/>
        <v>0.93698175787728033</v>
      </c>
      <c r="Q178">
        <v>57.6</v>
      </c>
      <c r="R178" s="3">
        <f t="shared" si="13"/>
        <v>0.82758620689655182</v>
      </c>
      <c r="S178">
        <v>325</v>
      </c>
      <c r="T178">
        <v>6.0060000000000002</v>
      </c>
      <c r="U178">
        <v>69.290000000000006</v>
      </c>
      <c r="V178">
        <v>5.641</v>
      </c>
      <c r="W178" s="3">
        <f t="shared" si="14"/>
        <v>0.93922743922743923</v>
      </c>
      <c r="X178">
        <v>57.2</v>
      </c>
      <c r="Y178" s="3">
        <f t="shared" si="15"/>
        <v>0.82551594746716694</v>
      </c>
      <c r="Z178">
        <v>322.7</v>
      </c>
      <c r="AA178">
        <v>77.5</v>
      </c>
      <c r="AB178">
        <v>25.1</v>
      </c>
      <c r="AC178" t="s">
        <v>64</v>
      </c>
      <c r="AE178" t="s">
        <v>65</v>
      </c>
      <c r="AF178" t="s">
        <v>66</v>
      </c>
      <c r="AG178" t="s">
        <v>711</v>
      </c>
      <c r="AH178" s="1">
        <v>0.66304398148148147</v>
      </c>
      <c r="AI178" t="s">
        <v>68</v>
      </c>
      <c r="AJ178" t="s">
        <v>69</v>
      </c>
      <c r="AO178">
        <v>4.8159999999999998</v>
      </c>
      <c r="AP178">
        <v>71.716999999999999</v>
      </c>
      <c r="AQ178">
        <v>0.8</v>
      </c>
      <c r="AR178">
        <v>1.2110000000000001</v>
      </c>
      <c r="AS178">
        <v>65.599000000000004</v>
      </c>
      <c r="AT178">
        <v>3.2</v>
      </c>
      <c r="AY178">
        <v>2.36</v>
      </c>
      <c r="AZ178" t="s">
        <v>712</v>
      </c>
      <c r="BB178" t="s">
        <v>712</v>
      </c>
      <c r="BD178" t="s">
        <v>68</v>
      </c>
      <c r="BE178" t="s">
        <v>810</v>
      </c>
      <c r="BF178" t="s">
        <v>811</v>
      </c>
      <c r="BG178" t="s">
        <v>812</v>
      </c>
      <c r="BH178">
        <v>0</v>
      </c>
      <c r="BI178">
        <v>1</v>
      </c>
      <c r="BJ178">
        <v>2</v>
      </c>
      <c r="BK178" t="s">
        <v>813</v>
      </c>
      <c r="BL178">
        <v>8.8620000000000001</v>
      </c>
      <c r="BM178">
        <v>9.2479999999999993</v>
      </c>
      <c r="BN178" s="2">
        <v>43405</v>
      </c>
      <c r="BO178" s="1">
        <v>0.70197916666666671</v>
      </c>
      <c r="BP178" s="3">
        <f t="shared" si="16"/>
        <v>1.0023967183259217</v>
      </c>
      <c r="BQ178" s="3">
        <f t="shared" si="17"/>
        <v>0.99749843652282666</v>
      </c>
    </row>
    <row r="179" spans="1:69" hidden="1" x14ac:dyDescent="0.35">
      <c r="A179">
        <v>177</v>
      </c>
      <c r="B179">
        <v>4082</v>
      </c>
      <c r="D179">
        <v>22</v>
      </c>
      <c r="E179">
        <v>3</v>
      </c>
      <c r="G179">
        <v>16690</v>
      </c>
      <c r="I179" t="s">
        <v>62</v>
      </c>
      <c r="L179" t="s">
        <v>772</v>
      </c>
      <c r="M179">
        <v>6.03</v>
      </c>
      <c r="N179">
        <v>69.599999999999994</v>
      </c>
      <c r="O179">
        <v>5.65</v>
      </c>
      <c r="P179" s="3">
        <f t="shared" si="12"/>
        <v>0.93698175787728033</v>
      </c>
      <c r="Q179">
        <v>57.6</v>
      </c>
      <c r="R179" s="3">
        <f t="shared" si="13"/>
        <v>0.82758620689655182</v>
      </c>
      <c r="S179">
        <v>325</v>
      </c>
      <c r="T179">
        <v>6.0069999999999997</v>
      </c>
      <c r="U179">
        <v>69.709999999999994</v>
      </c>
      <c r="V179">
        <v>5.6790000000000003</v>
      </c>
      <c r="W179" s="3">
        <f t="shared" si="14"/>
        <v>0.94539703679041132</v>
      </c>
      <c r="X179">
        <v>57.96</v>
      </c>
      <c r="Y179" s="3">
        <f t="shared" si="15"/>
        <v>0.83144455601778811</v>
      </c>
      <c r="Z179">
        <v>329.2</v>
      </c>
      <c r="AA179">
        <v>78.599999999999994</v>
      </c>
      <c r="AB179">
        <v>25.1</v>
      </c>
      <c r="AC179" t="s">
        <v>64</v>
      </c>
      <c r="AE179" t="s">
        <v>65</v>
      </c>
      <c r="AF179" t="s">
        <v>66</v>
      </c>
      <c r="AG179" t="s">
        <v>705</v>
      </c>
      <c r="AH179" s="1">
        <v>0.4205787037037037</v>
      </c>
      <c r="AI179" t="s">
        <v>68</v>
      </c>
      <c r="AJ179" t="s">
        <v>69</v>
      </c>
      <c r="AO179">
        <v>4.8860000000000001</v>
      </c>
      <c r="AP179">
        <v>71.905000000000001</v>
      </c>
      <c r="AQ179">
        <v>0.8</v>
      </c>
      <c r="AR179">
        <v>1.206</v>
      </c>
      <c r="AS179">
        <v>66.102000000000004</v>
      </c>
      <c r="AT179">
        <v>3.2</v>
      </c>
      <c r="AY179">
        <v>2.36</v>
      </c>
      <c r="AZ179" t="s">
        <v>185</v>
      </c>
      <c r="BB179" t="s">
        <v>185</v>
      </c>
      <c r="BD179" t="s">
        <v>68</v>
      </c>
      <c r="BE179" t="s">
        <v>814</v>
      </c>
      <c r="BF179" t="s">
        <v>815</v>
      </c>
      <c r="BG179" t="s">
        <v>816</v>
      </c>
      <c r="BH179">
        <v>0</v>
      </c>
      <c r="BI179">
        <v>0</v>
      </c>
      <c r="BJ179">
        <v>1</v>
      </c>
      <c r="BK179" t="s">
        <v>817</v>
      </c>
      <c r="BL179">
        <v>8.8620000000000001</v>
      </c>
      <c r="BM179">
        <v>8.8620000000000001</v>
      </c>
      <c r="BN179" t="s">
        <v>777</v>
      </c>
      <c r="BO179" s="1">
        <v>0.61864583333333334</v>
      </c>
      <c r="BP179" s="3">
        <f t="shared" si="16"/>
        <v>1.0089812622736603</v>
      </c>
      <c r="BQ179" s="3">
        <f t="shared" si="17"/>
        <v>1.0046621718548272</v>
      </c>
    </row>
    <row r="180" spans="1:69" hidden="1" x14ac:dyDescent="0.35">
      <c r="A180">
        <v>178</v>
      </c>
      <c r="B180">
        <v>4067</v>
      </c>
      <c r="D180">
        <v>22</v>
      </c>
      <c r="E180">
        <v>3</v>
      </c>
      <c r="G180">
        <v>16690</v>
      </c>
      <c r="I180" t="s">
        <v>62</v>
      </c>
      <c r="L180" t="s">
        <v>772</v>
      </c>
      <c r="M180">
        <v>6.03</v>
      </c>
      <c r="N180">
        <v>69.599999999999994</v>
      </c>
      <c r="O180">
        <v>5.65</v>
      </c>
      <c r="P180" s="3">
        <f t="shared" si="12"/>
        <v>0.93698175787728033</v>
      </c>
      <c r="Q180">
        <v>57.6</v>
      </c>
      <c r="R180" s="3">
        <f t="shared" si="13"/>
        <v>0.82758620689655182</v>
      </c>
      <c r="S180">
        <v>325</v>
      </c>
      <c r="T180">
        <v>5.9989999999999997</v>
      </c>
      <c r="U180">
        <v>69.89</v>
      </c>
      <c r="V180">
        <v>5.6820000000000004</v>
      </c>
      <c r="W180" s="3">
        <f t="shared" si="14"/>
        <v>0.94715785964327404</v>
      </c>
      <c r="X180">
        <v>57.97</v>
      </c>
      <c r="Y180" s="3">
        <f t="shared" si="15"/>
        <v>0.8294462727142653</v>
      </c>
      <c r="Z180">
        <v>329.4</v>
      </c>
      <c r="AA180">
        <v>78.599999999999994</v>
      </c>
      <c r="AB180">
        <v>25.2</v>
      </c>
      <c r="AC180" t="s">
        <v>64</v>
      </c>
      <c r="AE180" t="s">
        <v>65</v>
      </c>
      <c r="AF180" t="s">
        <v>66</v>
      </c>
      <c r="AG180" t="s">
        <v>705</v>
      </c>
      <c r="AH180" s="1">
        <v>0.42486111111111113</v>
      </c>
      <c r="AI180" t="s">
        <v>68</v>
      </c>
      <c r="AJ180" t="s">
        <v>69</v>
      </c>
      <c r="AO180">
        <v>4.8109999999999999</v>
      </c>
      <c r="AP180">
        <v>72.430000000000007</v>
      </c>
      <c r="AQ180">
        <v>0.8</v>
      </c>
      <c r="AR180">
        <v>1.206</v>
      </c>
      <c r="AS180">
        <v>66.311999999999998</v>
      </c>
      <c r="AT180">
        <v>3.2</v>
      </c>
      <c r="AY180">
        <v>2.36</v>
      </c>
      <c r="AZ180" t="s">
        <v>185</v>
      </c>
      <c r="BB180" t="s">
        <v>185</v>
      </c>
      <c r="BD180" t="s">
        <v>68</v>
      </c>
      <c r="BE180" t="s">
        <v>818</v>
      </c>
      <c r="BF180" t="s">
        <v>819</v>
      </c>
      <c r="BG180" t="s">
        <v>820</v>
      </c>
      <c r="BH180">
        <v>0</v>
      </c>
      <c r="BI180">
        <v>0</v>
      </c>
      <c r="BJ180">
        <v>1</v>
      </c>
      <c r="BK180" t="s">
        <v>821</v>
      </c>
      <c r="BL180">
        <v>8.8620000000000001</v>
      </c>
      <c r="BM180">
        <v>8.8620000000000001</v>
      </c>
      <c r="BN180" t="s">
        <v>777</v>
      </c>
      <c r="BO180" s="1">
        <v>0.52417824074074071</v>
      </c>
      <c r="BP180" s="3">
        <f t="shared" si="16"/>
        <v>1.0108605121502552</v>
      </c>
      <c r="BQ180" s="3">
        <f t="shared" si="17"/>
        <v>1.0022475795297372</v>
      </c>
    </row>
    <row r="181" spans="1:69" hidden="1" x14ac:dyDescent="0.35">
      <c r="A181">
        <v>179</v>
      </c>
      <c r="B181">
        <v>4072</v>
      </c>
      <c r="D181">
        <v>22</v>
      </c>
      <c r="E181">
        <v>3</v>
      </c>
      <c r="G181">
        <v>16690</v>
      </c>
      <c r="I181" t="s">
        <v>62</v>
      </c>
      <c r="L181" t="s">
        <v>772</v>
      </c>
      <c r="M181">
        <v>6.03</v>
      </c>
      <c r="N181">
        <v>69.599999999999994</v>
      </c>
      <c r="O181">
        <v>5.65</v>
      </c>
      <c r="P181" s="3">
        <f t="shared" si="12"/>
        <v>0.93698175787728033</v>
      </c>
      <c r="Q181">
        <v>57.6</v>
      </c>
      <c r="R181" s="3">
        <f t="shared" si="13"/>
        <v>0.82758620689655182</v>
      </c>
      <c r="S181">
        <v>325</v>
      </c>
      <c r="T181">
        <v>6.0069999999999997</v>
      </c>
      <c r="U181">
        <v>70.44</v>
      </c>
      <c r="V181">
        <v>5.6879999999999997</v>
      </c>
      <c r="W181" s="3">
        <f t="shared" si="14"/>
        <v>0.94689528882969864</v>
      </c>
      <c r="X181">
        <v>58.63</v>
      </c>
      <c r="Y181" s="3">
        <f t="shared" si="15"/>
        <v>0.83233957978421358</v>
      </c>
      <c r="Z181">
        <v>333.4</v>
      </c>
      <c r="AA181">
        <v>78.8</v>
      </c>
      <c r="AB181">
        <v>25</v>
      </c>
      <c r="AC181" t="s">
        <v>64</v>
      </c>
      <c r="AE181" t="s">
        <v>65</v>
      </c>
      <c r="AF181" t="s">
        <v>66</v>
      </c>
      <c r="AG181" t="s">
        <v>705</v>
      </c>
      <c r="AH181" s="1">
        <v>0.4400115740740741</v>
      </c>
      <c r="AI181" t="s">
        <v>68</v>
      </c>
      <c r="AJ181" t="s">
        <v>69</v>
      </c>
      <c r="AO181">
        <v>4.8109999999999999</v>
      </c>
      <c r="AP181">
        <v>73.180999999999997</v>
      </c>
      <c r="AQ181">
        <v>0.8</v>
      </c>
      <c r="AR181">
        <v>1.2010000000000001</v>
      </c>
      <c r="AS181">
        <v>67.138000000000005</v>
      </c>
      <c r="AT181">
        <v>3.1</v>
      </c>
      <c r="AY181">
        <v>2.36</v>
      </c>
      <c r="AZ181" t="s">
        <v>185</v>
      </c>
      <c r="BB181" t="s">
        <v>185</v>
      </c>
      <c r="BD181" t="s">
        <v>68</v>
      </c>
      <c r="BE181" t="s">
        <v>822</v>
      </c>
      <c r="BF181" t="s">
        <v>823</v>
      </c>
      <c r="BG181" t="s">
        <v>824</v>
      </c>
      <c r="BH181">
        <v>0</v>
      </c>
      <c r="BI181">
        <v>0</v>
      </c>
      <c r="BJ181">
        <v>2</v>
      </c>
      <c r="BK181" t="s">
        <v>825</v>
      </c>
      <c r="BL181">
        <v>8.8620000000000001</v>
      </c>
      <c r="BM181">
        <v>8.8620000000000001</v>
      </c>
      <c r="BN181" t="s">
        <v>777</v>
      </c>
      <c r="BO181" s="1">
        <v>0.55594907407407412</v>
      </c>
      <c r="BP181" s="3">
        <f t="shared" si="16"/>
        <v>1.0105802817067402</v>
      </c>
      <c r="BQ181" s="3">
        <f t="shared" si="17"/>
        <v>1.0057436589059245</v>
      </c>
    </row>
    <row r="182" spans="1:69" hidden="1" x14ac:dyDescent="0.35">
      <c r="A182">
        <v>180</v>
      </c>
      <c r="B182">
        <v>4072</v>
      </c>
      <c r="D182">
        <v>22</v>
      </c>
      <c r="E182">
        <v>3</v>
      </c>
      <c r="G182">
        <v>16690</v>
      </c>
      <c r="I182" t="s">
        <v>62</v>
      </c>
      <c r="L182" t="s">
        <v>778</v>
      </c>
      <c r="M182">
        <v>6.03</v>
      </c>
      <c r="N182">
        <v>69.599999999999994</v>
      </c>
      <c r="O182">
        <v>5.65</v>
      </c>
      <c r="P182" s="3">
        <f t="shared" si="12"/>
        <v>0.93698175787728033</v>
      </c>
      <c r="Q182">
        <v>57.6</v>
      </c>
      <c r="R182" s="3">
        <f t="shared" si="13"/>
        <v>0.82758620689655182</v>
      </c>
      <c r="S182">
        <v>325</v>
      </c>
      <c r="T182">
        <v>5.9989999999999997</v>
      </c>
      <c r="U182">
        <v>70.28</v>
      </c>
      <c r="V182">
        <v>5.6059999999999999</v>
      </c>
      <c r="W182" s="3">
        <f t="shared" si="14"/>
        <v>0.93448908151358567</v>
      </c>
      <c r="X182">
        <v>58.29</v>
      </c>
      <c r="Y182" s="3">
        <f t="shared" si="15"/>
        <v>0.82939669891861123</v>
      </c>
      <c r="Z182">
        <v>326.8</v>
      </c>
      <c r="AA182">
        <v>77.5</v>
      </c>
      <c r="AB182">
        <v>25.3</v>
      </c>
      <c r="AC182" t="s">
        <v>64</v>
      </c>
      <c r="AE182" t="s">
        <v>65</v>
      </c>
      <c r="AF182" t="s">
        <v>66</v>
      </c>
      <c r="AG182" t="s">
        <v>711</v>
      </c>
      <c r="AH182" s="1">
        <v>0.63157407407407407</v>
      </c>
      <c r="AI182" t="s">
        <v>68</v>
      </c>
      <c r="AJ182" t="s">
        <v>69</v>
      </c>
      <c r="AO182">
        <v>4.8159999999999998</v>
      </c>
      <c r="AP182">
        <v>72.805000000000007</v>
      </c>
      <c r="AQ182">
        <v>0.8</v>
      </c>
      <c r="AR182">
        <v>1.206</v>
      </c>
      <c r="AS182">
        <v>66.763000000000005</v>
      </c>
      <c r="AT182">
        <v>3.2</v>
      </c>
      <c r="AY182">
        <v>2.36</v>
      </c>
      <c r="AZ182" t="s">
        <v>712</v>
      </c>
      <c r="BB182" t="s">
        <v>712</v>
      </c>
      <c r="BD182" t="s">
        <v>68</v>
      </c>
      <c r="BE182" t="s">
        <v>826</v>
      </c>
      <c r="BF182" t="s">
        <v>827</v>
      </c>
      <c r="BG182" t="s">
        <v>828</v>
      </c>
      <c r="BH182">
        <v>0</v>
      </c>
      <c r="BI182">
        <v>1</v>
      </c>
      <c r="BJ182">
        <v>2</v>
      </c>
      <c r="BK182" t="s">
        <v>829</v>
      </c>
      <c r="BL182">
        <v>8.8620000000000001</v>
      </c>
      <c r="BM182">
        <v>8.8620000000000001</v>
      </c>
      <c r="BN182" t="s">
        <v>777</v>
      </c>
      <c r="BO182" s="1">
        <v>0.55594907407407412</v>
      </c>
      <c r="BP182" s="3">
        <f t="shared" si="16"/>
        <v>0.99733967460653472</v>
      </c>
      <c r="BQ182" s="3">
        <f t="shared" si="17"/>
        <v>1.0021876778599885</v>
      </c>
    </row>
    <row r="183" spans="1:69" hidden="1" x14ac:dyDescent="0.35">
      <c r="A183">
        <v>181</v>
      </c>
      <c r="B183">
        <v>4074</v>
      </c>
      <c r="D183">
        <v>22</v>
      </c>
      <c r="E183">
        <v>3</v>
      </c>
      <c r="G183">
        <v>16690</v>
      </c>
      <c r="I183" t="s">
        <v>62</v>
      </c>
      <c r="L183" t="s">
        <v>778</v>
      </c>
      <c r="M183">
        <v>6.03</v>
      </c>
      <c r="N183">
        <v>69.599999999999994</v>
      </c>
      <c r="O183">
        <v>5.65</v>
      </c>
      <c r="P183" s="3">
        <f t="shared" si="12"/>
        <v>0.93698175787728033</v>
      </c>
      <c r="Q183">
        <v>57.6</v>
      </c>
      <c r="R183" s="3">
        <f t="shared" si="13"/>
        <v>0.82758620689655182</v>
      </c>
      <c r="S183">
        <v>325</v>
      </c>
      <c r="T183">
        <v>6.0049999999999999</v>
      </c>
      <c r="U183">
        <v>69.61</v>
      </c>
      <c r="V183">
        <v>5.625</v>
      </c>
      <c r="W183" s="3">
        <f t="shared" si="14"/>
        <v>0.93671940049958369</v>
      </c>
      <c r="X183">
        <v>57.5</v>
      </c>
      <c r="Y183" s="3">
        <f t="shared" si="15"/>
        <v>0.82603074270938082</v>
      </c>
      <c r="Z183">
        <v>323.5</v>
      </c>
      <c r="AA183">
        <v>77.400000000000006</v>
      </c>
      <c r="AB183">
        <v>25.1</v>
      </c>
      <c r="AC183" t="s">
        <v>64</v>
      </c>
      <c r="AE183" t="s">
        <v>65</v>
      </c>
      <c r="AF183" t="s">
        <v>66</v>
      </c>
      <c r="AG183" t="s">
        <v>711</v>
      </c>
      <c r="AH183" s="1">
        <v>0.66905092592592597</v>
      </c>
      <c r="AI183" t="s">
        <v>68</v>
      </c>
      <c r="AJ183" t="s">
        <v>69</v>
      </c>
      <c r="AO183">
        <v>4.8209999999999997</v>
      </c>
      <c r="AP183">
        <v>72.055000000000007</v>
      </c>
      <c r="AQ183">
        <v>0.8</v>
      </c>
      <c r="AR183">
        <v>1.206</v>
      </c>
      <c r="AS183">
        <v>66.05</v>
      </c>
      <c r="AT183">
        <v>3.2</v>
      </c>
      <c r="AY183">
        <v>2.36</v>
      </c>
      <c r="AZ183" t="s">
        <v>712</v>
      </c>
      <c r="BB183" t="s">
        <v>712</v>
      </c>
      <c r="BD183" t="s">
        <v>68</v>
      </c>
      <c r="BE183" t="s">
        <v>830</v>
      </c>
      <c r="BF183" t="s">
        <v>831</v>
      </c>
      <c r="BG183" t="s">
        <v>832</v>
      </c>
      <c r="BH183">
        <v>0</v>
      </c>
      <c r="BI183">
        <v>0</v>
      </c>
      <c r="BJ183">
        <v>1</v>
      </c>
      <c r="BK183" t="s">
        <v>833</v>
      </c>
      <c r="BL183">
        <v>8.8620000000000001</v>
      </c>
      <c r="BM183">
        <v>8.8620000000000001</v>
      </c>
      <c r="BN183" t="s">
        <v>777</v>
      </c>
      <c r="BO183" s="1">
        <v>0.56258101851851849</v>
      </c>
      <c r="BP183" s="3">
        <f t="shared" si="16"/>
        <v>0.99971999734734318</v>
      </c>
      <c r="BQ183" s="3">
        <f t="shared" si="17"/>
        <v>0.99812048077383508</v>
      </c>
    </row>
    <row r="184" spans="1:69" hidden="1" x14ac:dyDescent="0.35">
      <c r="A184">
        <v>182</v>
      </c>
      <c r="B184">
        <v>4084</v>
      </c>
      <c r="D184">
        <v>22</v>
      </c>
      <c r="E184">
        <v>3</v>
      </c>
      <c r="G184">
        <v>16690</v>
      </c>
      <c r="I184" t="s">
        <v>62</v>
      </c>
      <c r="L184" t="s">
        <v>778</v>
      </c>
      <c r="M184">
        <v>6.03</v>
      </c>
      <c r="N184">
        <v>69.599999999999994</v>
      </c>
      <c r="O184">
        <v>5.65</v>
      </c>
      <c r="P184" s="3">
        <f t="shared" si="12"/>
        <v>0.93698175787728033</v>
      </c>
      <c r="Q184">
        <v>57.6</v>
      </c>
      <c r="R184" s="3">
        <f t="shared" si="13"/>
        <v>0.82758620689655182</v>
      </c>
      <c r="S184">
        <v>325</v>
      </c>
      <c r="T184">
        <v>6.0220000000000002</v>
      </c>
      <c r="U184">
        <v>69.510000000000005</v>
      </c>
      <c r="V184">
        <v>5.6269999999999998</v>
      </c>
      <c r="W184" s="3">
        <f t="shared" si="14"/>
        <v>0.93440717369644632</v>
      </c>
      <c r="X184">
        <v>57.46</v>
      </c>
      <c r="Y184" s="3">
        <f t="shared" si="15"/>
        <v>0.8266436483959142</v>
      </c>
      <c r="Z184">
        <v>323.3</v>
      </c>
      <c r="AA184">
        <v>77.2</v>
      </c>
      <c r="AB184">
        <v>25.1</v>
      </c>
      <c r="AC184" t="s">
        <v>64</v>
      </c>
      <c r="AE184" t="s">
        <v>65</v>
      </c>
      <c r="AF184" t="s">
        <v>66</v>
      </c>
      <c r="AG184" t="s">
        <v>711</v>
      </c>
      <c r="AH184" s="1">
        <v>0.6680787037037037</v>
      </c>
      <c r="AI184" t="s">
        <v>68</v>
      </c>
      <c r="AJ184" t="s">
        <v>69</v>
      </c>
      <c r="AO184">
        <v>4.8159999999999998</v>
      </c>
      <c r="AP184">
        <v>71.905000000000001</v>
      </c>
      <c r="AQ184">
        <v>0.8</v>
      </c>
      <c r="AR184">
        <v>1.206</v>
      </c>
      <c r="AS184">
        <v>65.162000000000006</v>
      </c>
      <c r="AT184">
        <v>3.2</v>
      </c>
      <c r="AY184">
        <v>2.36</v>
      </c>
      <c r="AZ184" t="s">
        <v>712</v>
      </c>
      <c r="BB184" t="s">
        <v>712</v>
      </c>
      <c r="BD184" t="s">
        <v>68</v>
      </c>
      <c r="BE184" t="s">
        <v>834</v>
      </c>
      <c r="BF184" t="s">
        <v>835</v>
      </c>
      <c r="BG184" t="s">
        <v>836</v>
      </c>
      <c r="BH184">
        <v>0</v>
      </c>
      <c r="BI184">
        <v>0</v>
      </c>
      <c r="BJ184">
        <v>1</v>
      </c>
      <c r="BK184" t="s">
        <v>837</v>
      </c>
      <c r="BL184">
        <v>8.8620000000000001</v>
      </c>
      <c r="BM184">
        <v>8.8620000000000001</v>
      </c>
      <c r="BN184" t="s">
        <v>777</v>
      </c>
      <c r="BO184" s="1">
        <v>0.62444444444444447</v>
      </c>
      <c r="BP184" s="3">
        <f t="shared" si="16"/>
        <v>0.99725225794505679</v>
      </c>
      <c r="BQ184" s="3">
        <f t="shared" si="17"/>
        <v>0.99886107514506284</v>
      </c>
    </row>
    <row r="185" spans="1:69" hidden="1" x14ac:dyDescent="0.35">
      <c r="A185">
        <v>183</v>
      </c>
      <c r="B185">
        <v>3921</v>
      </c>
      <c r="D185">
        <v>20</v>
      </c>
      <c r="E185">
        <v>1</v>
      </c>
      <c r="G185">
        <v>16626.599999999999</v>
      </c>
      <c r="I185" t="s">
        <v>62</v>
      </c>
      <c r="L185" t="s">
        <v>838</v>
      </c>
      <c r="M185">
        <v>9.61</v>
      </c>
      <c r="N185">
        <v>40.18</v>
      </c>
      <c r="O185">
        <v>9.17</v>
      </c>
      <c r="P185" s="3">
        <f t="shared" si="12"/>
        <v>0.95421436004162341</v>
      </c>
      <c r="Q185">
        <v>32.799999999999997</v>
      </c>
      <c r="R185" s="3">
        <f t="shared" si="13"/>
        <v>0.81632653061224481</v>
      </c>
      <c r="S185">
        <v>300</v>
      </c>
      <c r="T185">
        <v>9.4019999999999992</v>
      </c>
      <c r="U185">
        <v>39.65</v>
      </c>
      <c r="V185">
        <v>8.9779999999999998</v>
      </c>
      <c r="W185" s="3">
        <f t="shared" si="14"/>
        <v>0.9549032120825357</v>
      </c>
      <c r="X185">
        <v>32.42</v>
      </c>
      <c r="Y185" s="3">
        <f t="shared" si="15"/>
        <v>0.81765447667087021</v>
      </c>
      <c r="Z185">
        <v>291.10000000000002</v>
      </c>
      <c r="AA185">
        <v>78.099999999999994</v>
      </c>
      <c r="AB185">
        <v>24.9</v>
      </c>
      <c r="AC185" t="s">
        <v>64</v>
      </c>
      <c r="AE185" t="s">
        <v>65</v>
      </c>
      <c r="AF185" t="s">
        <v>66</v>
      </c>
      <c r="AG185" t="s">
        <v>67</v>
      </c>
      <c r="AH185" s="1">
        <v>0.45048611111111109</v>
      </c>
      <c r="AI185" t="s">
        <v>68</v>
      </c>
      <c r="AJ185" t="s">
        <v>69</v>
      </c>
      <c r="AO185">
        <v>7.5129999999999999</v>
      </c>
      <c r="AP185">
        <v>41.392000000000003</v>
      </c>
      <c r="AQ185">
        <v>12.8</v>
      </c>
      <c r="AR185">
        <v>1.88</v>
      </c>
      <c r="AS185">
        <v>37.451000000000001</v>
      </c>
      <c r="AT185">
        <v>38.4</v>
      </c>
      <c r="AY185">
        <v>2.36</v>
      </c>
      <c r="AZ185" t="s">
        <v>839</v>
      </c>
      <c r="BB185" t="s">
        <v>839</v>
      </c>
      <c r="BD185" t="s">
        <v>68</v>
      </c>
      <c r="BE185" t="s">
        <v>840</v>
      </c>
      <c r="BF185" t="s">
        <v>841</v>
      </c>
      <c r="BG185" t="s">
        <v>842</v>
      </c>
      <c r="BH185">
        <v>0</v>
      </c>
      <c r="BI185">
        <v>0</v>
      </c>
      <c r="BJ185">
        <v>2</v>
      </c>
      <c r="BK185" t="s">
        <v>843</v>
      </c>
      <c r="BL185">
        <v>8.8620000000000001</v>
      </c>
      <c r="BM185">
        <v>8.8620000000000001</v>
      </c>
      <c r="BN185" t="s">
        <v>844</v>
      </c>
      <c r="BO185" s="1">
        <v>0.49228009259259259</v>
      </c>
      <c r="BP185" s="3">
        <f t="shared" si="16"/>
        <v>1.0007219049196474</v>
      </c>
      <c r="BQ185" s="3">
        <f t="shared" si="17"/>
        <v>1.0016267339218161</v>
      </c>
    </row>
    <row r="186" spans="1:69" hidden="1" x14ac:dyDescent="0.35">
      <c r="A186">
        <v>184</v>
      </c>
      <c r="B186">
        <v>3921</v>
      </c>
      <c r="D186">
        <v>20</v>
      </c>
      <c r="E186">
        <v>1</v>
      </c>
      <c r="G186">
        <v>16626.599999999999</v>
      </c>
      <c r="I186" t="s">
        <v>62</v>
      </c>
      <c r="L186" t="s">
        <v>845</v>
      </c>
      <c r="M186">
        <v>9.61</v>
      </c>
      <c r="N186">
        <v>40.18</v>
      </c>
      <c r="O186">
        <v>9.17</v>
      </c>
      <c r="P186" s="3">
        <f t="shared" si="12"/>
        <v>0.95421436004162341</v>
      </c>
      <c r="Q186">
        <v>32.799999999999997</v>
      </c>
      <c r="R186" s="3">
        <f t="shared" si="13"/>
        <v>0.81632653061224481</v>
      </c>
      <c r="S186">
        <v>300</v>
      </c>
      <c r="T186">
        <v>9.3889999999999993</v>
      </c>
      <c r="U186">
        <v>39.619999999999997</v>
      </c>
      <c r="V186">
        <v>8.9649999999999999</v>
      </c>
      <c r="W186" s="3">
        <f t="shared" si="14"/>
        <v>0.95484077111513477</v>
      </c>
      <c r="X186">
        <v>32.31</v>
      </c>
      <c r="Y186" s="3">
        <f t="shared" si="15"/>
        <v>0.81549722362443222</v>
      </c>
      <c r="Z186">
        <v>289.60000000000002</v>
      </c>
      <c r="AA186">
        <v>77.900000000000006</v>
      </c>
      <c r="AB186">
        <v>25</v>
      </c>
      <c r="AC186" t="s">
        <v>64</v>
      </c>
      <c r="AE186" t="s">
        <v>65</v>
      </c>
      <c r="AF186" t="s">
        <v>66</v>
      </c>
      <c r="AG186" s="2">
        <v>44229</v>
      </c>
      <c r="AH186" s="1">
        <v>0.43563657407407408</v>
      </c>
      <c r="AI186" t="s">
        <v>68</v>
      </c>
      <c r="AJ186" t="s">
        <v>69</v>
      </c>
      <c r="AO186">
        <v>7.4980000000000002</v>
      </c>
      <c r="AP186">
        <v>41.015999999999998</v>
      </c>
      <c r="AQ186">
        <v>12.8</v>
      </c>
      <c r="AR186">
        <v>1.88</v>
      </c>
      <c r="AS186">
        <v>37.113</v>
      </c>
      <c r="AT186">
        <v>38.4</v>
      </c>
      <c r="AY186">
        <v>2.36</v>
      </c>
      <c r="AZ186" s="2">
        <v>44288</v>
      </c>
      <c r="BB186" s="2">
        <v>44288</v>
      </c>
      <c r="BD186" t="s">
        <v>68</v>
      </c>
      <c r="BE186" t="s">
        <v>846</v>
      </c>
      <c r="BF186" t="s">
        <v>847</v>
      </c>
      <c r="BG186" t="s">
        <v>848</v>
      </c>
      <c r="BH186">
        <v>0</v>
      </c>
      <c r="BI186">
        <v>1</v>
      </c>
      <c r="BJ186">
        <v>2</v>
      </c>
      <c r="BK186" t="s">
        <v>849</v>
      </c>
      <c r="BL186">
        <v>8.8620000000000001</v>
      </c>
      <c r="BM186">
        <v>8.8620000000000001</v>
      </c>
      <c r="BN186" t="s">
        <v>844</v>
      </c>
      <c r="BO186" s="1">
        <v>0.49228009259259259</v>
      </c>
      <c r="BP186" s="3">
        <f t="shared" si="16"/>
        <v>1.0006564678752938</v>
      </c>
      <c r="BQ186" s="3">
        <f t="shared" si="17"/>
        <v>0.99898409893992957</v>
      </c>
    </row>
    <row r="187" spans="1:69" hidden="1" x14ac:dyDescent="0.35">
      <c r="A187">
        <v>185</v>
      </c>
      <c r="B187">
        <v>4327</v>
      </c>
      <c r="D187">
        <v>20</v>
      </c>
      <c r="E187">
        <v>1</v>
      </c>
      <c r="G187">
        <v>16626.599999999999</v>
      </c>
      <c r="I187" t="s">
        <v>62</v>
      </c>
      <c r="L187" t="s">
        <v>850</v>
      </c>
      <c r="M187">
        <v>9.61</v>
      </c>
      <c r="N187">
        <v>40.18</v>
      </c>
      <c r="O187">
        <v>9.17</v>
      </c>
      <c r="P187" s="3">
        <f t="shared" si="12"/>
        <v>0.95421436004162341</v>
      </c>
      <c r="Q187">
        <v>32.799999999999997</v>
      </c>
      <c r="R187" s="3">
        <f t="shared" si="13"/>
        <v>0.81632653061224481</v>
      </c>
      <c r="S187">
        <v>300</v>
      </c>
      <c r="T187">
        <v>9.3960000000000008</v>
      </c>
      <c r="U187">
        <v>39.54</v>
      </c>
      <c r="V187">
        <v>8.984</v>
      </c>
      <c r="W187" s="3">
        <f t="shared" si="14"/>
        <v>0.95615155385270323</v>
      </c>
      <c r="X187">
        <v>32.24</v>
      </c>
      <c r="Y187" s="3">
        <f t="shared" si="15"/>
        <v>0.8153768335862418</v>
      </c>
      <c r="Z187">
        <v>289.7</v>
      </c>
      <c r="AA187">
        <v>78</v>
      </c>
      <c r="AB187">
        <v>25</v>
      </c>
      <c r="AC187" t="s">
        <v>64</v>
      </c>
      <c r="AE187" t="s">
        <v>65</v>
      </c>
      <c r="AF187" t="s">
        <v>66</v>
      </c>
      <c r="AG187" t="s">
        <v>67</v>
      </c>
      <c r="AH187" s="1">
        <v>0.4541203703703704</v>
      </c>
      <c r="AI187" t="s">
        <v>68</v>
      </c>
      <c r="AJ187" t="s">
        <v>69</v>
      </c>
      <c r="AO187">
        <v>7.508</v>
      </c>
      <c r="AP187">
        <v>41.316000000000003</v>
      </c>
      <c r="AQ187">
        <v>12.8</v>
      </c>
      <c r="AR187">
        <v>1.875</v>
      </c>
      <c r="AS187">
        <v>37.387999999999998</v>
      </c>
      <c r="AT187">
        <v>38.4</v>
      </c>
      <c r="AY187">
        <v>2.36</v>
      </c>
      <c r="AZ187" t="s">
        <v>839</v>
      </c>
      <c r="BB187" t="s">
        <v>839</v>
      </c>
      <c r="BD187" t="s">
        <v>68</v>
      </c>
      <c r="BE187" t="s">
        <v>851</v>
      </c>
      <c r="BF187" t="s">
        <v>852</v>
      </c>
      <c r="BG187" t="s">
        <v>853</v>
      </c>
      <c r="BH187">
        <v>0</v>
      </c>
      <c r="BI187">
        <v>0</v>
      </c>
      <c r="BJ187">
        <v>2</v>
      </c>
      <c r="BK187" t="s">
        <v>854</v>
      </c>
      <c r="BL187">
        <v>8.8620000000000001</v>
      </c>
      <c r="BM187">
        <v>8.8620000000000001</v>
      </c>
      <c r="BN187" s="2">
        <v>43775</v>
      </c>
      <c r="BO187" s="1">
        <v>0.62788194444444445</v>
      </c>
      <c r="BP187" s="3">
        <f t="shared" si="16"/>
        <v>1.0020301453134652</v>
      </c>
      <c r="BQ187" s="3">
        <f t="shared" si="17"/>
        <v>0.99883662114314631</v>
      </c>
    </row>
    <row r="188" spans="1:69" hidden="1" x14ac:dyDescent="0.35">
      <c r="A188">
        <v>186</v>
      </c>
      <c r="B188">
        <v>4327</v>
      </c>
      <c r="D188">
        <v>20</v>
      </c>
      <c r="E188">
        <v>1</v>
      </c>
      <c r="G188">
        <v>16626.599999999999</v>
      </c>
      <c r="I188" t="s">
        <v>62</v>
      </c>
      <c r="L188" t="s">
        <v>855</v>
      </c>
      <c r="M188">
        <v>9.61</v>
      </c>
      <c r="N188">
        <v>40.18</v>
      </c>
      <c r="O188">
        <v>9.17</v>
      </c>
      <c r="P188" s="3">
        <f t="shared" si="12"/>
        <v>0.95421436004162341</v>
      </c>
      <c r="Q188">
        <v>32.799999999999997</v>
      </c>
      <c r="R188" s="3">
        <f t="shared" si="13"/>
        <v>0.81632653061224481</v>
      </c>
      <c r="S188">
        <v>300</v>
      </c>
      <c r="T188">
        <v>9.3789999999999996</v>
      </c>
      <c r="U188">
        <v>39.520000000000003</v>
      </c>
      <c r="V188">
        <v>8.9730000000000008</v>
      </c>
      <c r="W188" s="3">
        <f t="shared" si="14"/>
        <v>0.95671180296406877</v>
      </c>
      <c r="X188">
        <v>32.119999999999997</v>
      </c>
      <c r="Y188" s="3">
        <f t="shared" si="15"/>
        <v>0.81275303643724683</v>
      </c>
      <c r="Z188">
        <v>288.2</v>
      </c>
      <c r="AA188">
        <v>77.7</v>
      </c>
      <c r="AB188">
        <v>24.8</v>
      </c>
      <c r="AC188" t="s">
        <v>64</v>
      </c>
      <c r="AE188" t="s">
        <v>65</v>
      </c>
      <c r="AF188" t="s">
        <v>66</v>
      </c>
      <c r="AG188" s="2">
        <v>44229</v>
      </c>
      <c r="AH188" s="1">
        <v>0.44712962962962965</v>
      </c>
      <c r="AI188" t="s">
        <v>68</v>
      </c>
      <c r="AJ188" t="s">
        <v>69</v>
      </c>
      <c r="AO188">
        <v>7.4980000000000002</v>
      </c>
      <c r="AP188">
        <v>41.091000000000001</v>
      </c>
      <c r="AQ188">
        <v>12.8</v>
      </c>
      <c r="AR188">
        <v>1.88</v>
      </c>
      <c r="AS188">
        <v>37.075000000000003</v>
      </c>
      <c r="AT188">
        <v>38.4</v>
      </c>
      <c r="AY188">
        <v>2.36</v>
      </c>
      <c r="AZ188" s="2">
        <v>44288</v>
      </c>
      <c r="BB188" s="2">
        <v>44288</v>
      </c>
      <c r="BD188" t="s">
        <v>68</v>
      </c>
      <c r="BE188" t="s">
        <v>856</v>
      </c>
      <c r="BF188" t="s">
        <v>857</v>
      </c>
      <c r="BG188" t="s">
        <v>858</v>
      </c>
      <c r="BH188">
        <v>0</v>
      </c>
      <c r="BI188">
        <v>1</v>
      </c>
      <c r="BJ188">
        <v>2</v>
      </c>
      <c r="BK188" t="s">
        <v>859</v>
      </c>
      <c r="BL188">
        <v>8.8620000000000001</v>
      </c>
      <c r="BM188">
        <v>8.8620000000000001</v>
      </c>
      <c r="BN188" s="2">
        <v>43775</v>
      </c>
      <c r="BO188" s="1">
        <v>0.62788194444444445</v>
      </c>
      <c r="BP188" s="3">
        <f t="shared" si="16"/>
        <v>1.0026172766068375</v>
      </c>
      <c r="BQ188" s="3">
        <f t="shared" si="17"/>
        <v>0.99562246963562751</v>
      </c>
    </row>
    <row r="189" spans="1:69" hidden="1" x14ac:dyDescent="0.35">
      <c r="A189">
        <v>187</v>
      </c>
      <c r="B189">
        <v>4265</v>
      </c>
      <c r="D189">
        <v>20</v>
      </c>
      <c r="E189">
        <v>1</v>
      </c>
      <c r="G189">
        <v>16626.599999999999</v>
      </c>
      <c r="I189" t="s">
        <v>62</v>
      </c>
      <c r="L189" t="s">
        <v>860</v>
      </c>
      <c r="M189">
        <v>9.61</v>
      </c>
      <c r="N189">
        <v>40.18</v>
      </c>
      <c r="O189">
        <v>9.17</v>
      </c>
      <c r="P189" s="3">
        <f t="shared" si="12"/>
        <v>0.95421436004162341</v>
      </c>
      <c r="Q189">
        <v>32.799999999999997</v>
      </c>
      <c r="R189" s="3">
        <f t="shared" si="13"/>
        <v>0.81632653061224481</v>
      </c>
      <c r="S189">
        <v>300</v>
      </c>
      <c r="T189">
        <v>9.4019999999999992</v>
      </c>
      <c r="U189">
        <v>39.520000000000003</v>
      </c>
      <c r="V189">
        <v>8.9809999999999999</v>
      </c>
      <c r="W189" s="3">
        <f t="shared" si="14"/>
        <v>0.95522229312912155</v>
      </c>
      <c r="X189">
        <v>32.21</v>
      </c>
      <c r="Y189" s="3">
        <f t="shared" si="15"/>
        <v>0.81503036437246956</v>
      </c>
      <c r="Z189">
        <v>289.3</v>
      </c>
      <c r="AA189">
        <v>77.900000000000006</v>
      </c>
      <c r="AB189">
        <v>25.2</v>
      </c>
      <c r="AC189" t="s">
        <v>64</v>
      </c>
      <c r="AE189" t="s">
        <v>65</v>
      </c>
      <c r="AF189" t="s">
        <v>66</v>
      </c>
      <c r="AG189" t="s">
        <v>67</v>
      </c>
      <c r="AH189" s="1">
        <v>0.46158564814814818</v>
      </c>
      <c r="AI189" t="s">
        <v>68</v>
      </c>
      <c r="AJ189" t="s">
        <v>69</v>
      </c>
      <c r="AO189">
        <v>7.508</v>
      </c>
      <c r="AP189">
        <v>41.392000000000003</v>
      </c>
      <c r="AQ189">
        <v>12.8</v>
      </c>
      <c r="AR189">
        <v>1.88</v>
      </c>
      <c r="AS189">
        <v>37.412999999999997</v>
      </c>
      <c r="AT189">
        <v>38.4</v>
      </c>
      <c r="AY189">
        <v>2.36</v>
      </c>
      <c r="AZ189" t="s">
        <v>839</v>
      </c>
      <c r="BB189" t="s">
        <v>839</v>
      </c>
      <c r="BD189" t="s">
        <v>68</v>
      </c>
      <c r="BE189" t="s">
        <v>861</v>
      </c>
      <c r="BF189" t="s">
        <v>862</v>
      </c>
      <c r="BG189" t="s">
        <v>863</v>
      </c>
      <c r="BH189">
        <v>0</v>
      </c>
      <c r="BI189">
        <v>0</v>
      </c>
      <c r="BJ189">
        <v>2</v>
      </c>
      <c r="BK189" t="s">
        <v>864</v>
      </c>
      <c r="BL189">
        <v>8.8620000000000001</v>
      </c>
      <c r="BM189">
        <v>8.8620000000000001</v>
      </c>
      <c r="BN189" t="s">
        <v>865</v>
      </c>
      <c r="BO189" s="1">
        <v>0.35855324074074074</v>
      </c>
      <c r="BP189" s="3">
        <f t="shared" si="16"/>
        <v>1.0010562962890792</v>
      </c>
      <c r="BQ189" s="3">
        <f t="shared" si="17"/>
        <v>0.99841219635627532</v>
      </c>
    </row>
    <row r="190" spans="1:69" hidden="1" x14ac:dyDescent="0.35">
      <c r="A190">
        <v>188</v>
      </c>
      <c r="B190">
        <v>4265</v>
      </c>
      <c r="D190">
        <v>20</v>
      </c>
      <c r="E190">
        <v>1</v>
      </c>
      <c r="G190">
        <v>16626.599999999999</v>
      </c>
      <c r="I190" t="s">
        <v>62</v>
      </c>
      <c r="L190" t="s">
        <v>866</v>
      </c>
      <c r="M190">
        <v>9.61</v>
      </c>
      <c r="N190">
        <v>40.18</v>
      </c>
      <c r="O190">
        <v>9.17</v>
      </c>
      <c r="P190" s="3">
        <f t="shared" si="12"/>
        <v>0.95421436004162341</v>
      </c>
      <c r="Q190">
        <v>32.799999999999997</v>
      </c>
      <c r="R190" s="3">
        <f t="shared" si="13"/>
        <v>0.81632653061224481</v>
      </c>
      <c r="S190">
        <v>300</v>
      </c>
      <c r="T190">
        <v>9.3610000000000007</v>
      </c>
      <c r="U190">
        <v>39.479999999999997</v>
      </c>
      <c r="V190">
        <v>8.952</v>
      </c>
      <c r="W190" s="3">
        <f t="shared" si="14"/>
        <v>0.95630808674286927</v>
      </c>
      <c r="X190">
        <v>32.03</v>
      </c>
      <c r="Y190" s="3">
        <f t="shared" si="15"/>
        <v>0.81129685916919969</v>
      </c>
      <c r="Z190">
        <v>286.7</v>
      </c>
      <c r="AA190">
        <v>77.599999999999994</v>
      </c>
      <c r="AB190">
        <v>25.4</v>
      </c>
      <c r="AC190" t="s">
        <v>64</v>
      </c>
      <c r="AE190" t="s">
        <v>65</v>
      </c>
      <c r="AF190" t="s">
        <v>66</v>
      </c>
      <c r="AG190" s="2">
        <v>44229</v>
      </c>
      <c r="AH190" s="1">
        <v>0.44156250000000002</v>
      </c>
      <c r="AI190" t="s">
        <v>68</v>
      </c>
      <c r="AJ190" t="s">
        <v>69</v>
      </c>
      <c r="AO190">
        <v>7.4980000000000002</v>
      </c>
      <c r="AP190">
        <v>41.128999999999998</v>
      </c>
      <c r="AQ190">
        <v>12.8</v>
      </c>
      <c r="AR190">
        <v>1.88</v>
      </c>
      <c r="AS190">
        <v>37.113</v>
      </c>
      <c r="AT190">
        <v>38.4</v>
      </c>
      <c r="AY190">
        <v>2.36</v>
      </c>
      <c r="AZ190" s="2">
        <v>44288</v>
      </c>
      <c r="BB190" s="2">
        <v>44288</v>
      </c>
      <c r="BD190" t="s">
        <v>68</v>
      </c>
      <c r="BE190" t="s">
        <v>867</v>
      </c>
      <c r="BF190" t="s">
        <v>868</v>
      </c>
      <c r="BG190" t="s">
        <v>869</v>
      </c>
      <c r="BH190">
        <v>0</v>
      </c>
      <c r="BI190">
        <v>1</v>
      </c>
      <c r="BJ190">
        <v>2</v>
      </c>
      <c r="BK190" t="s">
        <v>870</v>
      </c>
      <c r="BL190">
        <v>8.8620000000000001</v>
      </c>
      <c r="BM190">
        <v>8.8620000000000001</v>
      </c>
      <c r="BN190" t="s">
        <v>865</v>
      </c>
      <c r="BO190" s="1">
        <v>0.35855324074074074</v>
      </c>
      <c r="BP190" s="3">
        <f t="shared" si="16"/>
        <v>1.0021941890511421</v>
      </c>
      <c r="BQ190" s="3">
        <f t="shared" si="17"/>
        <v>0.99383865248226977</v>
      </c>
    </row>
    <row r="191" spans="1:69" hidden="1" x14ac:dyDescent="0.35">
      <c r="A191">
        <v>189</v>
      </c>
      <c r="B191">
        <v>4270</v>
      </c>
      <c r="D191">
        <v>20</v>
      </c>
      <c r="E191">
        <v>1</v>
      </c>
      <c r="G191">
        <v>16626.599999999999</v>
      </c>
      <c r="I191" t="s">
        <v>62</v>
      </c>
      <c r="L191" t="s">
        <v>860</v>
      </c>
      <c r="M191">
        <v>9.61</v>
      </c>
      <c r="N191">
        <v>40.18</v>
      </c>
      <c r="O191">
        <v>9.17</v>
      </c>
      <c r="P191" s="3">
        <f t="shared" si="12"/>
        <v>0.95421436004162341</v>
      </c>
      <c r="Q191">
        <v>32.799999999999997</v>
      </c>
      <c r="R191" s="3">
        <f t="shared" si="13"/>
        <v>0.81632653061224481</v>
      </c>
      <c r="S191">
        <v>300</v>
      </c>
      <c r="T191">
        <v>9.3870000000000005</v>
      </c>
      <c r="U191">
        <v>39.520000000000003</v>
      </c>
      <c r="V191">
        <v>8.9740000000000002</v>
      </c>
      <c r="W191" s="3">
        <f t="shared" si="14"/>
        <v>0.9560029828486204</v>
      </c>
      <c r="X191">
        <v>32.14</v>
      </c>
      <c r="Y191" s="3">
        <f t="shared" si="15"/>
        <v>0.81325910931174084</v>
      </c>
      <c r="Z191">
        <v>288.5</v>
      </c>
      <c r="AA191">
        <v>77.8</v>
      </c>
      <c r="AB191">
        <v>25.1</v>
      </c>
      <c r="AC191" t="s">
        <v>64</v>
      </c>
      <c r="AE191" t="s">
        <v>65</v>
      </c>
      <c r="AF191" t="s">
        <v>66</v>
      </c>
      <c r="AG191" t="s">
        <v>67</v>
      </c>
      <c r="AH191" s="1">
        <v>0.45770833333333333</v>
      </c>
      <c r="AI191" t="s">
        <v>68</v>
      </c>
      <c r="AJ191" t="s">
        <v>69</v>
      </c>
      <c r="AO191">
        <v>7.5030000000000001</v>
      </c>
      <c r="AP191">
        <v>42.279000000000003</v>
      </c>
      <c r="AQ191">
        <v>12.8</v>
      </c>
      <c r="AR191">
        <v>1.88</v>
      </c>
      <c r="AS191">
        <v>37.301000000000002</v>
      </c>
      <c r="AT191">
        <v>38.4</v>
      </c>
      <c r="AY191">
        <v>2.36</v>
      </c>
      <c r="AZ191" t="s">
        <v>839</v>
      </c>
      <c r="BB191" t="s">
        <v>839</v>
      </c>
      <c r="BD191" t="s">
        <v>68</v>
      </c>
      <c r="BE191" t="s">
        <v>871</v>
      </c>
      <c r="BF191" t="s">
        <v>872</v>
      </c>
      <c r="BG191" t="s">
        <v>873</v>
      </c>
      <c r="BH191">
        <v>0</v>
      </c>
      <c r="BI191">
        <v>0</v>
      </c>
      <c r="BJ191">
        <v>2</v>
      </c>
      <c r="BK191" t="s">
        <v>874</v>
      </c>
      <c r="BL191">
        <v>8.8620000000000001</v>
      </c>
      <c r="BM191">
        <v>8.8620000000000001</v>
      </c>
      <c r="BN191" t="s">
        <v>865</v>
      </c>
      <c r="BO191" s="1">
        <v>0.41793981481481479</v>
      </c>
      <c r="BP191" s="3">
        <f t="shared" si="16"/>
        <v>1.0018744454934831</v>
      </c>
      <c r="BQ191" s="3">
        <f t="shared" si="17"/>
        <v>0.99624240890688265</v>
      </c>
    </row>
    <row r="192" spans="1:69" hidden="1" x14ac:dyDescent="0.35">
      <c r="A192">
        <v>190</v>
      </c>
      <c r="B192">
        <v>4270</v>
      </c>
      <c r="D192">
        <v>20</v>
      </c>
      <c r="E192">
        <v>1</v>
      </c>
      <c r="G192">
        <v>16626.599999999999</v>
      </c>
      <c r="I192" t="s">
        <v>62</v>
      </c>
      <c r="L192" t="s">
        <v>866</v>
      </c>
      <c r="M192">
        <v>9.61</v>
      </c>
      <c r="N192">
        <v>40.18</v>
      </c>
      <c r="O192">
        <v>9.17</v>
      </c>
      <c r="P192" s="3">
        <f t="shared" si="12"/>
        <v>0.95421436004162341</v>
      </c>
      <c r="Q192">
        <v>32.799999999999997</v>
      </c>
      <c r="R192" s="3">
        <f t="shared" si="13"/>
        <v>0.81632653061224481</v>
      </c>
      <c r="S192">
        <v>300</v>
      </c>
      <c r="T192">
        <v>9.375</v>
      </c>
      <c r="U192">
        <v>39.520000000000003</v>
      </c>
      <c r="V192">
        <v>8.9580000000000002</v>
      </c>
      <c r="W192" s="3">
        <f t="shared" si="14"/>
        <v>0.95552000000000004</v>
      </c>
      <c r="X192">
        <v>31.94</v>
      </c>
      <c r="Y192" s="3">
        <f t="shared" si="15"/>
        <v>0.8081983805668016</v>
      </c>
      <c r="Z192">
        <v>286.2</v>
      </c>
      <c r="AA192">
        <v>77.2</v>
      </c>
      <c r="AB192">
        <v>24.8</v>
      </c>
      <c r="AC192" t="s">
        <v>64</v>
      </c>
      <c r="AE192" t="s">
        <v>65</v>
      </c>
      <c r="AF192" t="s">
        <v>66</v>
      </c>
      <c r="AG192" s="2">
        <v>44229</v>
      </c>
      <c r="AH192" s="1">
        <v>0.44866898148148149</v>
      </c>
      <c r="AI192" t="s">
        <v>68</v>
      </c>
      <c r="AJ192" t="s">
        <v>69</v>
      </c>
      <c r="AO192">
        <v>7.4980000000000002</v>
      </c>
      <c r="AP192">
        <v>41.128999999999998</v>
      </c>
      <c r="AQ192">
        <v>12.8</v>
      </c>
      <c r="AY192">
        <v>2.36</v>
      </c>
      <c r="AZ192" s="2">
        <v>44288</v>
      </c>
      <c r="BB192" s="2">
        <v>44288</v>
      </c>
      <c r="BD192" t="s">
        <v>68</v>
      </c>
      <c r="BE192" t="s">
        <v>875</v>
      </c>
      <c r="BG192" t="s">
        <v>876</v>
      </c>
      <c r="BH192">
        <v>0</v>
      </c>
      <c r="BI192">
        <v>1</v>
      </c>
      <c r="BJ192">
        <v>2</v>
      </c>
      <c r="BK192" t="s">
        <v>877</v>
      </c>
      <c r="BL192">
        <v>8.8620000000000001</v>
      </c>
      <c r="BM192">
        <v>8.8620000000000001</v>
      </c>
      <c r="BN192" t="s">
        <v>865</v>
      </c>
      <c r="BO192" s="1">
        <v>0.41793981481481479</v>
      </c>
      <c r="BP192" s="3">
        <f t="shared" si="16"/>
        <v>1.0013682878953107</v>
      </c>
      <c r="BQ192" s="3">
        <f t="shared" si="17"/>
        <v>0.9900430161943321</v>
      </c>
    </row>
    <row r="193" spans="1:69" hidden="1" x14ac:dyDescent="0.35">
      <c r="A193">
        <v>191</v>
      </c>
      <c r="B193">
        <v>4326</v>
      </c>
      <c r="D193">
        <v>20</v>
      </c>
      <c r="E193">
        <v>1</v>
      </c>
      <c r="G193">
        <v>16626.599999999999</v>
      </c>
      <c r="I193" t="s">
        <v>62</v>
      </c>
      <c r="L193" t="s">
        <v>850</v>
      </c>
      <c r="M193">
        <v>9.61</v>
      </c>
      <c r="N193">
        <v>40.18</v>
      </c>
      <c r="O193">
        <v>9.17</v>
      </c>
      <c r="P193" s="3">
        <f t="shared" si="12"/>
        <v>0.95421436004162341</v>
      </c>
      <c r="Q193">
        <v>32.799999999999997</v>
      </c>
      <c r="R193" s="3">
        <f t="shared" si="13"/>
        <v>0.81632653061224481</v>
      </c>
      <c r="S193">
        <v>300</v>
      </c>
      <c r="T193">
        <v>9.375</v>
      </c>
      <c r="U193">
        <v>39.47</v>
      </c>
      <c r="V193">
        <v>8.9440000000000008</v>
      </c>
      <c r="W193" s="3">
        <f t="shared" si="14"/>
        <v>0.9540266666666668</v>
      </c>
      <c r="X193">
        <v>32.229999999999997</v>
      </c>
      <c r="Y193" s="3">
        <f t="shared" si="15"/>
        <v>0.81656954649100577</v>
      </c>
      <c r="Z193">
        <v>288.3</v>
      </c>
      <c r="AA193">
        <v>77.900000000000006</v>
      </c>
      <c r="AB193">
        <v>25</v>
      </c>
      <c r="AC193" t="s">
        <v>64</v>
      </c>
      <c r="AE193" t="s">
        <v>65</v>
      </c>
      <c r="AF193" t="s">
        <v>66</v>
      </c>
      <c r="AG193" t="s">
        <v>67</v>
      </c>
      <c r="AH193" s="1">
        <v>0.45505787037037038</v>
      </c>
      <c r="AI193" t="s">
        <v>68</v>
      </c>
      <c r="AJ193" t="s">
        <v>69</v>
      </c>
      <c r="AO193">
        <v>7.5129999999999999</v>
      </c>
      <c r="AP193">
        <v>41.204000000000001</v>
      </c>
      <c r="AQ193">
        <v>12.8</v>
      </c>
      <c r="AR193">
        <v>1.88</v>
      </c>
      <c r="AS193">
        <v>37.225999999999999</v>
      </c>
      <c r="AT193">
        <v>38.4</v>
      </c>
      <c r="AY193">
        <v>2.36</v>
      </c>
      <c r="AZ193" t="s">
        <v>839</v>
      </c>
      <c r="BB193" t="s">
        <v>839</v>
      </c>
      <c r="BD193" t="s">
        <v>68</v>
      </c>
      <c r="BE193" t="s">
        <v>878</v>
      </c>
      <c r="BF193" t="s">
        <v>879</v>
      </c>
      <c r="BG193" t="s">
        <v>880</v>
      </c>
      <c r="BH193">
        <v>0</v>
      </c>
      <c r="BI193">
        <v>0</v>
      </c>
      <c r="BJ193">
        <v>2</v>
      </c>
      <c r="BK193" t="s">
        <v>881</v>
      </c>
      <c r="BL193">
        <v>8.8620000000000001</v>
      </c>
      <c r="BM193">
        <v>8.8620000000000001</v>
      </c>
      <c r="BN193" s="2">
        <v>43775</v>
      </c>
      <c r="BO193" s="1">
        <v>0.62427083333333333</v>
      </c>
      <c r="BP193" s="3">
        <f t="shared" si="16"/>
        <v>0.99980330061795719</v>
      </c>
      <c r="BQ193" s="3">
        <f t="shared" si="17"/>
        <v>1.0002976944514821</v>
      </c>
    </row>
    <row r="194" spans="1:69" hidden="1" x14ac:dyDescent="0.35">
      <c r="A194">
        <v>192</v>
      </c>
      <c r="B194">
        <v>4326</v>
      </c>
      <c r="D194">
        <v>20</v>
      </c>
      <c r="E194">
        <v>1</v>
      </c>
      <c r="G194">
        <v>16626.599999999999</v>
      </c>
      <c r="I194" t="s">
        <v>62</v>
      </c>
      <c r="L194" t="s">
        <v>855</v>
      </c>
      <c r="M194">
        <v>9.61</v>
      </c>
      <c r="N194">
        <v>40.18</v>
      </c>
      <c r="O194">
        <v>9.17</v>
      </c>
      <c r="P194" s="3">
        <f t="shared" si="12"/>
        <v>0.95421436004162341</v>
      </c>
      <c r="Q194">
        <v>32.799999999999997</v>
      </c>
      <c r="R194" s="3">
        <f t="shared" si="13"/>
        <v>0.81632653061224481</v>
      </c>
      <c r="S194">
        <v>300</v>
      </c>
      <c r="T194">
        <v>9.3650000000000002</v>
      </c>
      <c r="U194">
        <v>39.42</v>
      </c>
      <c r="V194">
        <v>8.9179999999999993</v>
      </c>
      <c r="W194" s="3">
        <f t="shared" si="14"/>
        <v>0.95226908702616109</v>
      </c>
      <c r="X194">
        <v>32.020000000000003</v>
      </c>
      <c r="Y194" s="3">
        <f t="shared" si="15"/>
        <v>0.81227803145611366</v>
      </c>
      <c r="Z194">
        <v>285.60000000000002</v>
      </c>
      <c r="AA194">
        <v>77.400000000000006</v>
      </c>
      <c r="AB194">
        <v>24.8</v>
      </c>
      <c r="AC194" t="s">
        <v>64</v>
      </c>
      <c r="AE194" t="s">
        <v>65</v>
      </c>
      <c r="AF194" t="s">
        <v>66</v>
      </c>
      <c r="AG194" s="2">
        <v>44229</v>
      </c>
      <c r="AH194" s="1">
        <v>0.44655092592592593</v>
      </c>
      <c r="AI194" t="s">
        <v>68</v>
      </c>
      <c r="AJ194" t="s">
        <v>69</v>
      </c>
      <c r="AO194">
        <v>7.4980000000000002</v>
      </c>
      <c r="AP194">
        <v>41.054000000000002</v>
      </c>
      <c r="AQ194">
        <v>12.8</v>
      </c>
      <c r="AR194">
        <v>1.88</v>
      </c>
      <c r="AS194">
        <v>36.692999999999998</v>
      </c>
      <c r="AT194">
        <v>38.4</v>
      </c>
      <c r="AY194">
        <v>2.36</v>
      </c>
      <c r="AZ194" s="2">
        <v>44288</v>
      </c>
      <c r="BB194" s="2">
        <v>44288</v>
      </c>
      <c r="BD194" t="s">
        <v>68</v>
      </c>
      <c r="BE194" t="s">
        <v>882</v>
      </c>
      <c r="BF194" t="s">
        <v>883</v>
      </c>
      <c r="BG194" t="s">
        <v>884</v>
      </c>
      <c r="BH194">
        <v>0</v>
      </c>
      <c r="BI194">
        <v>1</v>
      </c>
      <c r="BJ194">
        <v>2</v>
      </c>
      <c r="BK194" t="s">
        <v>885</v>
      </c>
      <c r="BL194">
        <v>8.8620000000000001</v>
      </c>
      <c r="BM194">
        <v>8.8620000000000001</v>
      </c>
      <c r="BN194" s="2">
        <v>43775</v>
      </c>
      <c r="BO194" s="1">
        <v>0.62427083333333333</v>
      </c>
      <c r="BP194" s="3">
        <f t="shared" si="16"/>
        <v>0.99796138782130939</v>
      </c>
      <c r="BQ194" s="3">
        <f t="shared" si="17"/>
        <v>0.99504058853373933</v>
      </c>
    </row>
    <row r="195" spans="1:69" hidden="1" x14ac:dyDescent="0.35">
      <c r="A195">
        <v>193</v>
      </c>
      <c r="B195">
        <v>4317</v>
      </c>
      <c r="D195">
        <v>20</v>
      </c>
      <c r="E195">
        <v>1</v>
      </c>
      <c r="G195">
        <v>16626.599999999999</v>
      </c>
      <c r="I195" t="s">
        <v>62</v>
      </c>
      <c r="L195" t="s">
        <v>886</v>
      </c>
      <c r="M195">
        <v>9.61</v>
      </c>
      <c r="N195">
        <v>40.18</v>
      </c>
      <c r="O195">
        <v>9.17</v>
      </c>
      <c r="P195" s="3">
        <f t="shared" ref="P195:P258" si="18">O195/M195</f>
        <v>0.95421436004162341</v>
      </c>
      <c r="Q195">
        <v>32.799999999999997</v>
      </c>
      <c r="R195" s="3">
        <f t="shared" ref="R195:R258" si="19">Q195/N195</f>
        <v>0.81632653061224481</v>
      </c>
      <c r="S195">
        <v>300</v>
      </c>
      <c r="T195">
        <v>9.4009999999999998</v>
      </c>
      <c r="U195">
        <v>39.54</v>
      </c>
      <c r="V195">
        <v>8.968</v>
      </c>
      <c r="W195" s="3">
        <f t="shared" ref="W195:W258" si="20">V195/T195</f>
        <v>0.9539410700989257</v>
      </c>
      <c r="X195">
        <v>32.270000000000003</v>
      </c>
      <c r="Y195" s="3">
        <f t="shared" ref="Y195:Y258" si="21">X195/U195</f>
        <v>0.81613555892766831</v>
      </c>
      <c r="Z195">
        <v>289.3</v>
      </c>
      <c r="AA195">
        <v>77.8</v>
      </c>
      <c r="AB195">
        <v>25.3</v>
      </c>
      <c r="AC195" t="s">
        <v>64</v>
      </c>
      <c r="AE195" t="s">
        <v>65</v>
      </c>
      <c r="AF195" t="s">
        <v>66</v>
      </c>
      <c r="AG195" t="s">
        <v>67</v>
      </c>
      <c r="AH195" s="1">
        <v>0.46329861111111109</v>
      </c>
      <c r="AI195" t="s">
        <v>68</v>
      </c>
      <c r="AJ195" t="s">
        <v>69</v>
      </c>
      <c r="AO195">
        <v>7.508</v>
      </c>
      <c r="AP195">
        <v>41.392000000000003</v>
      </c>
      <c r="AQ195">
        <v>12.8</v>
      </c>
      <c r="AR195">
        <v>1.88</v>
      </c>
      <c r="AS195">
        <v>37.451000000000001</v>
      </c>
      <c r="AT195">
        <v>38.4</v>
      </c>
      <c r="AY195">
        <v>2.36</v>
      </c>
      <c r="AZ195" t="s">
        <v>839</v>
      </c>
      <c r="BB195" t="s">
        <v>839</v>
      </c>
      <c r="BD195" t="s">
        <v>68</v>
      </c>
      <c r="BE195" t="s">
        <v>887</v>
      </c>
      <c r="BF195" t="s">
        <v>888</v>
      </c>
      <c r="BG195" t="s">
        <v>889</v>
      </c>
      <c r="BH195">
        <v>0</v>
      </c>
      <c r="BI195">
        <v>0</v>
      </c>
      <c r="BJ195">
        <v>2</v>
      </c>
      <c r="BK195" t="s">
        <v>890</v>
      </c>
      <c r="BL195">
        <v>8.8620000000000001</v>
      </c>
      <c r="BM195">
        <v>8.8620000000000001</v>
      </c>
      <c r="BN195" s="2">
        <v>43805</v>
      </c>
      <c r="BO195" s="1">
        <v>0.46766203703703701</v>
      </c>
      <c r="BP195" s="3">
        <f t="shared" ref="BP195:BP258" si="22">W195/P195</f>
        <v>0.99971359690847061</v>
      </c>
      <c r="BQ195" s="3">
        <f t="shared" ref="BQ195:BQ258" si="23">Y195/R195</f>
        <v>0.99976605968639376</v>
      </c>
    </row>
    <row r="196" spans="1:69" hidden="1" x14ac:dyDescent="0.35">
      <c r="A196">
        <v>194</v>
      </c>
      <c r="B196">
        <v>4317</v>
      </c>
      <c r="D196">
        <v>20</v>
      </c>
      <c r="E196">
        <v>1</v>
      </c>
      <c r="G196">
        <v>16626.599999999999</v>
      </c>
      <c r="I196" t="s">
        <v>62</v>
      </c>
      <c r="L196" t="s">
        <v>891</v>
      </c>
      <c r="M196">
        <v>9.61</v>
      </c>
      <c r="N196">
        <v>40.18</v>
      </c>
      <c r="O196">
        <v>9.17</v>
      </c>
      <c r="P196" s="3">
        <f t="shared" si="18"/>
        <v>0.95421436004162341</v>
      </c>
      <c r="Q196">
        <v>32.799999999999997</v>
      </c>
      <c r="R196" s="3">
        <f t="shared" si="19"/>
        <v>0.81632653061224481</v>
      </c>
      <c r="S196">
        <v>300</v>
      </c>
      <c r="T196">
        <v>9.3699999999999992</v>
      </c>
      <c r="U196">
        <v>39.53</v>
      </c>
      <c r="V196">
        <v>8.9469999999999992</v>
      </c>
      <c r="W196" s="3">
        <f t="shared" si="20"/>
        <v>0.95485592315901813</v>
      </c>
      <c r="X196">
        <v>32.1</v>
      </c>
      <c r="Y196" s="3">
        <f t="shared" si="21"/>
        <v>0.81204148747786498</v>
      </c>
      <c r="Z196">
        <v>287.2</v>
      </c>
      <c r="AA196">
        <v>77.5</v>
      </c>
      <c r="AB196">
        <v>25.2</v>
      </c>
      <c r="AC196" t="s">
        <v>64</v>
      </c>
      <c r="AE196" t="s">
        <v>65</v>
      </c>
      <c r="AF196" t="s">
        <v>66</v>
      </c>
      <c r="AG196" s="2">
        <v>44229</v>
      </c>
      <c r="AH196" s="1">
        <v>0.44376157407407407</v>
      </c>
      <c r="AI196" t="s">
        <v>68</v>
      </c>
      <c r="AJ196" t="s">
        <v>69</v>
      </c>
      <c r="AO196">
        <v>7.4980000000000002</v>
      </c>
      <c r="AP196">
        <v>41.165999999999997</v>
      </c>
      <c r="AQ196">
        <v>12.8</v>
      </c>
      <c r="AR196">
        <v>1.88</v>
      </c>
      <c r="AS196">
        <v>37.151000000000003</v>
      </c>
      <c r="AT196">
        <v>38.4</v>
      </c>
      <c r="AY196">
        <v>2.36</v>
      </c>
      <c r="AZ196" s="2">
        <v>44288</v>
      </c>
      <c r="BB196" s="2">
        <v>44288</v>
      </c>
      <c r="BD196" t="s">
        <v>68</v>
      </c>
      <c r="BE196" t="s">
        <v>892</v>
      </c>
      <c r="BF196" t="s">
        <v>893</v>
      </c>
      <c r="BG196" t="s">
        <v>894</v>
      </c>
      <c r="BH196">
        <v>0</v>
      </c>
      <c r="BI196">
        <v>1</v>
      </c>
      <c r="BJ196">
        <v>2</v>
      </c>
      <c r="BK196" t="s">
        <v>895</v>
      </c>
      <c r="BL196">
        <v>8.8620000000000001</v>
      </c>
      <c r="BM196">
        <v>8.8620000000000001</v>
      </c>
      <c r="BN196" s="2">
        <v>43805</v>
      </c>
      <c r="BO196" s="1">
        <v>0.46766203703703701</v>
      </c>
      <c r="BP196" s="3">
        <f t="shared" si="22"/>
        <v>1.0006723469529077</v>
      </c>
      <c r="BQ196" s="3">
        <f t="shared" si="23"/>
        <v>0.99475082216038468</v>
      </c>
    </row>
    <row r="197" spans="1:69" hidden="1" x14ac:dyDescent="0.35">
      <c r="A197">
        <v>195</v>
      </c>
      <c r="B197">
        <v>4262</v>
      </c>
      <c r="D197">
        <v>20</v>
      </c>
      <c r="E197">
        <v>1</v>
      </c>
      <c r="G197">
        <v>16626.599999999999</v>
      </c>
      <c r="I197" t="s">
        <v>62</v>
      </c>
      <c r="L197" t="s">
        <v>860</v>
      </c>
      <c r="M197">
        <v>9.61</v>
      </c>
      <c r="N197">
        <v>40.18</v>
      </c>
      <c r="O197">
        <v>9.17</v>
      </c>
      <c r="P197" s="3">
        <f t="shared" si="18"/>
        <v>0.95421436004162341</v>
      </c>
      <c r="Q197">
        <v>32.799999999999997</v>
      </c>
      <c r="R197" s="3">
        <f t="shared" si="19"/>
        <v>0.81632653061224481</v>
      </c>
      <c r="S197">
        <v>300</v>
      </c>
      <c r="T197">
        <v>9.3960000000000008</v>
      </c>
      <c r="U197">
        <v>39.6</v>
      </c>
      <c r="V197">
        <v>8.9809999999999999</v>
      </c>
      <c r="W197" s="3">
        <f t="shared" si="20"/>
        <v>0.95583226905065977</v>
      </c>
      <c r="X197">
        <v>32.26</v>
      </c>
      <c r="Y197" s="3">
        <f t="shared" si="21"/>
        <v>0.81464646464646462</v>
      </c>
      <c r="Z197">
        <v>289.7</v>
      </c>
      <c r="AA197">
        <v>77.900000000000006</v>
      </c>
      <c r="AB197">
        <v>24.9</v>
      </c>
      <c r="AC197" t="s">
        <v>64</v>
      </c>
      <c r="AE197" t="s">
        <v>65</v>
      </c>
      <c r="AF197" t="s">
        <v>66</v>
      </c>
      <c r="AG197" t="s">
        <v>67</v>
      </c>
      <c r="AH197" s="1">
        <v>0.45194444444444443</v>
      </c>
      <c r="AI197" t="s">
        <v>68</v>
      </c>
      <c r="AJ197" t="s">
        <v>69</v>
      </c>
      <c r="AO197">
        <v>7.5129999999999999</v>
      </c>
      <c r="AP197">
        <v>41.279000000000003</v>
      </c>
      <c r="AQ197">
        <v>12.8</v>
      </c>
      <c r="AR197">
        <v>1.88</v>
      </c>
      <c r="AS197">
        <v>37.262</v>
      </c>
      <c r="AT197">
        <v>38.4</v>
      </c>
      <c r="AY197">
        <v>2.36</v>
      </c>
      <c r="AZ197" t="s">
        <v>839</v>
      </c>
      <c r="BB197" t="s">
        <v>839</v>
      </c>
      <c r="BD197" t="s">
        <v>68</v>
      </c>
      <c r="BE197" t="s">
        <v>896</v>
      </c>
      <c r="BF197" t="s">
        <v>897</v>
      </c>
      <c r="BG197" t="s">
        <v>898</v>
      </c>
      <c r="BH197">
        <v>0</v>
      </c>
      <c r="BI197">
        <v>0</v>
      </c>
      <c r="BJ197">
        <v>2</v>
      </c>
      <c r="BK197" t="s">
        <v>899</v>
      </c>
      <c r="BL197">
        <v>8.8620000000000001</v>
      </c>
      <c r="BM197">
        <v>8.8620000000000001</v>
      </c>
      <c r="BN197" t="s">
        <v>865</v>
      </c>
      <c r="BO197" s="1">
        <v>0.51443287037037033</v>
      </c>
      <c r="BP197" s="3">
        <f t="shared" si="22"/>
        <v>1.001695540411869</v>
      </c>
      <c r="BQ197" s="3">
        <f t="shared" si="23"/>
        <v>0.99794191919191932</v>
      </c>
    </row>
    <row r="198" spans="1:69" hidden="1" x14ac:dyDescent="0.35">
      <c r="A198">
        <v>196</v>
      </c>
      <c r="B198">
        <v>4262</v>
      </c>
      <c r="D198">
        <v>20</v>
      </c>
      <c r="E198">
        <v>1</v>
      </c>
      <c r="G198">
        <v>16626.599999999999</v>
      </c>
      <c r="I198" t="s">
        <v>62</v>
      </c>
      <c r="L198" t="s">
        <v>866</v>
      </c>
      <c r="M198">
        <v>9.61</v>
      </c>
      <c r="N198">
        <v>40.18</v>
      </c>
      <c r="O198">
        <v>9.17</v>
      </c>
      <c r="P198" s="3">
        <f t="shared" si="18"/>
        <v>0.95421436004162341</v>
      </c>
      <c r="Q198">
        <v>32.799999999999997</v>
      </c>
      <c r="R198" s="3">
        <f t="shared" si="19"/>
        <v>0.81632653061224481</v>
      </c>
      <c r="S198">
        <v>300</v>
      </c>
      <c r="T198">
        <v>9.3819999999999997</v>
      </c>
      <c r="U198">
        <v>39.51</v>
      </c>
      <c r="V198">
        <v>8.9550000000000001</v>
      </c>
      <c r="W198" s="3">
        <f t="shared" si="20"/>
        <v>0.95448731613728421</v>
      </c>
      <c r="X198">
        <v>32.020000000000003</v>
      </c>
      <c r="Y198" s="3">
        <f t="shared" si="21"/>
        <v>0.81042773981270577</v>
      </c>
      <c r="Z198">
        <v>286.7</v>
      </c>
      <c r="AA198">
        <v>77.400000000000006</v>
      </c>
      <c r="AB198">
        <v>25.4</v>
      </c>
      <c r="AC198" t="s">
        <v>64</v>
      </c>
      <c r="AE198" t="s">
        <v>65</v>
      </c>
      <c r="AF198" t="s">
        <v>66</v>
      </c>
      <c r="AG198" s="2">
        <v>44229</v>
      </c>
      <c r="AH198" s="1">
        <v>0.43932870370370369</v>
      </c>
      <c r="AI198" t="s">
        <v>68</v>
      </c>
      <c r="AJ198" t="s">
        <v>69</v>
      </c>
      <c r="AO198">
        <v>7.4980000000000002</v>
      </c>
      <c r="AP198">
        <v>41.241</v>
      </c>
      <c r="AQ198">
        <v>12.8</v>
      </c>
      <c r="AR198">
        <v>1.88</v>
      </c>
      <c r="AS198">
        <v>37.188000000000002</v>
      </c>
      <c r="AT198">
        <v>38.4</v>
      </c>
      <c r="AY198">
        <v>2.36</v>
      </c>
      <c r="AZ198" s="2">
        <v>44288</v>
      </c>
      <c r="BB198" s="2">
        <v>44288</v>
      </c>
      <c r="BD198" t="s">
        <v>68</v>
      </c>
      <c r="BE198" t="s">
        <v>900</v>
      </c>
      <c r="BF198" t="s">
        <v>901</v>
      </c>
      <c r="BG198" t="s">
        <v>902</v>
      </c>
      <c r="BH198">
        <v>0</v>
      </c>
      <c r="BI198">
        <v>1</v>
      </c>
      <c r="BJ198">
        <v>2</v>
      </c>
      <c r="BK198" t="s">
        <v>903</v>
      </c>
      <c r="BL198">
        <v>8.8620000000000001</v>
      </c>
      <c r="BM198">
        <v>8.8620000000000001</v>
      </c>
      <c r="BN198" t="s">
        <v>865</v>
      </c>
      <c r="BO198" s="1">
        <v>0.51443287037037033</v>
      </c>
      <c r="BP198" s="3">
        <f t="shared" si="22"/>
        <v>1.0002860532256599</v>
      </c>
      <c r="BQ198" s="3">
        <f t="shared" si="23"/>
        <v>0.99277398127056471</v>
      </c>
    </row>
    <row r="199" spans="1:69" hidden="1" x14ac:dyDescent="0.35">
      <c r="A199">
        <v>197</v>
      </c>
      <c r="B199">
        <v>4331</v>
      </c>
      <c r="D199">
        <v>20</v>
      </c>
      <c r="E199">
        <v>1</v>
      </c>
      <c r="G199">
        <v>16626.599999999999</v>
      </c>
      <c r="I199" t="s">
        <v>62</v>
      </c>
      <c r="L199" t="s">
        <v>850</v>
      </c>
      <c r="M199">
        <v>9.61</v>
      </c>
      <c r="N199">
        <v>40.18</v>
      </c>
      <c r="O199">
        <v>9.17</v>
      </c>
      <c r="P199" s="3">
        <f t="shared" si="18"/>
        <v>0.95421436004162341</v>
      </c>
      <c r="Q199">
        <v>32.799999999999997</v>
      </c>
      <c r="R199" s="3">
        <f t="shared" si="19"/>
        <v>0.81632653061224481</v>
      </c>
      <c r="S199">
        <v>300</v>
      </c>
      <c r="T199">
        <v>9.3550000000000004</v>
      </c>
      <c r="U199">
        <v>39.590000000000003</v>
      </c>
      <c r="V199">
        <v>8.9469999999999992</v>
      </c>
      <c r="W199" s="3">
        <f t="shared" si="20"/>
        <v>0.95638695884553704</v>
      </c>
      <c r="X199">
        <v>32.35</v>
      </c>
      <c r="Y199" s="3">
        <f t="shared" si="21"/>
        <v>0.81712553675170496</v>
      </c>
      <c r="Z199">
        <v>289.39999999999998</v>
      </c>
      <c r="AA199">
        <v>78.2</v>
      </c>
      <c r="AB199">
        <v>25.1</v>
      </c>
      <c r="AC199" t="s">
        <v>64</v>
      </c>
      <c r="AE199" t="s">
        <v>65</v>
      </c>
      <c r="AF199" t="s">
        <v>66</v>
      </c>
      <c r="AG199" t="s">
        <v>67</v>
      </c>
      <c r="AH199" s="1">
        <v>0.45925925925925926</v>
      </c>
      <c r="AI199" t="s">
        <v>68</v>
      </c>
      <c r="AJ199" t="s">
        <v>69</v>
      </c>
      <c r="AO199">
        <v>7.508</v>
      </c>
      <c r="AP199">
        <v>42.392000000000003</v>
      </c>
      <c r="AQ199">
        <v>12.8</v>
      </c>
      <c r="AR199">
        <v>1.88</v>
      </c>
      <c r="AS199">
        <v>37.451000000000001</v>
      </c>
      <c r="AT199">
        <v>38.4</v>
      </c>
      <c r="AY199">
        <v>2.36</v>
      </c>
      <c r="AZ199" t="s">
        <v>839</v>
      </c>
      <c r="BB199" t="s">
        <v>839</v>
      </c>
      <c r="BD199" t="s">
        <v>68</v>
      </c>
      <c r="BE199" t="s">
        <v>904</v>
      </c>
      <c r="BF199" t="s">
        <v>905</v>
      </c>
      <c r="BG199" t="s">
        <v>906</v>
      </c>
      <c r="BH199">
        <v>0</v>
      </c>
      <c r="BI199">
        <v>0</v>
      </c>
      <c r="BJ199">
        <v>2</v>
      </c>
      <c r="BK199" t="s">
        <v>907</v>
      </c>
      <c r="BL199">
        <v>8.8620000000000001</v>
      </c>
      <c r="BM199">
        <v>8.8620000000000001</v>
      </c>
      <c r="BN199" s="2">
        <v>43775</v>
      </c>
      <c r="BO199" s="1">
        <v>0.65447916666666661</v>
      </c>
      <c r="BP199" s="3">
        <f t="shared" si="22"/>
        <v>1.0022768456385616</v>
      </c>
      <c r="BQ199" s="3">
        <f t="shared" si="23"/>
        <v>1.0009787825208387</v>
      </c>
    </row>
    <row r="200" spans="1:69" hidden="1" x14ac:dyDescent="0.35">
      <c r="A200">
        <v>198</v>
      </c>
      <c r="B200">
        <v>4331</v>
      </c>
      <c r="D200">
        <v>20</v>
      </c>
      <c r="E200">
        <v>1</v>
      </c>
      <c r="G200">
        <v>16626.599999999999</v>
      </c>
      <c r="I200" t="s">
        <v>62</v>
      </c>
      <c r="L200" t="s">
        <v>855</v>
      </c>
      <c r="M200">
        <v>9.61</v>
      </c>
      <c r="N200">
        <v>40.18</v>
      </c>
      <c r="O200">
        <v>9.17</v>
      </c>
      <c r="P200" s="3">
        <f t="shared" si="18"/>
        <v>0.95421436004162341</v>
      </c>
      <c r="Q200">
        <v>32.799999999999997</v>
      </c>
      <c r="R200" s="3">
        <f t="shared" si="19"/>
        <v>0.81632653061224481</v>
      </c>
      <c r="S200">
        <v>300</v>
      </c>
      <c r="T200">
        <v>9.3510000000000009</v>
      </c>
      <c r="U200">
        <v>39.57</v>
      </c>
      <c r="V200">
        <v>8.9239999999999995</v>
      </c>
      <c r="W200" s="3">
        <f t="shared" si="20"/>
        <v>0.95433643460592432</v>
      </c>
      <c r="X200">
        <v>32.17</v>
      </c>
      <c r="Y200" s="3">
        <f t="shared" si="21"/>
        <v>0.81298963861511253</v>
      </c>
      <c r="Z200">
        <v>287.10000000000002</v>
      </c>
      <c r="AA200">
        <v>77.599999999999994</v>
      </c>
      <c r="AB200">
        <v>25</v>
      </c>
      <c r="AC200" t="s">
        <v>64</v>
      </c>
      <c r="AE200" t="s">
        <v>65</v>
      </c>
      <c r="AF200" t="s">
        <v>66</v>
      </c>
      <c r="AG200" s="2">
        <v>44229</v>
      </c>
      <c r="AH200" s="1">
        <v>0.44504629629629627</v>
      </c>
      <c r="AI200" t="s">
        <v>68</v>
      </c>
      <c r="AJ200" t="s">
        <v>69</v>
      </c>
      <c r="AO200">
        <v>7.4980000000000002</v>
      </c>
      <c r="AP200">
        <v>41.204000000000001</v>
      </c>
      <c r="AQ200">
        <v>12.8</v>
      </c>
      <c r="AR200">
        <v>1.88</v>
      </c>
      <c r="AS200">
        <v>37.188000000000002</v>
      </c>
      <c r="AT200">
        <v>38.4</v>
      </c>
      <c r="AY200">
        <v>2.36</v>
      </c>
      <c r="AZ200" s="2">
        <v>44288</v>
      </c>
      <c r="BB200" s="2">
        <v>44288</v>
      </c>
      <c r="BD200" t="s">
        <v>68</v>
      </c>
      <c r="BE200" t="s">
        <v>908</v>
      </c>
      <c r="BF200" t="s">
        <v>909</v>
      </c>
      <c r="BG200" t="s">
        <v>910</v>
      </c>
      <c r="BH200">
        <v>0</v>
      </c>
      <c r="BI200">
        <v>1</v>
      </c>
      <c r="BJ200">
        <v>2</v>
      </c>
      <c r="BK200" t="s">
        <v>911</v>
      </c>
      <c r="BL200">
        <v>8.8620000000000001</v>
      </c>
      <c r="BM200">
        <v>8.8620000000000001</v>
      </c>
      <c r="BN200" s="2">
        <v>43775</v>
      </c>
      <c r="BO200" s="1">
        <v>0.65447916666666661</v>
      </c>
      <c r="BP200" s="3">
        <f t="shared" si="22"/>
        <v>1.0001279320134058</v>
      </c>
      <c r="BQ200" s="3">
        <f t="shared" si="23"/>
        <v>0.99591230730351299</v>
      </c>
    </row>
    <row r="201" spans="1:69" hidden="1" x14ac:dyDescent="0.35">
      <c r="A201">
        <v>199</v>
      </c>
      <c r="B201">
        <v>3922</v>
      </c>
      <c r="D201">
        <v>20</v>
      </c>
      <c r="E201">
        <v>1</v>
      </c>
      <c r="G201">
        <v>16626.599999999999</v>
      </c>
      <c r="I201" t="s">
        <v>62</v>
      </c>
      <c r="L201" t="s">
        <v>838</v>
      </c>
      <c r="M201">
        <v>9.61</v>
      </c>
      <c r="N201">
        <v>40.18</v>
      </c>
      <c r="O201">
        <v>9.17</v>
      </c>
      <c r="P201" s="3">
        <f t="shared" si="18"/>
        <v>0.95421436004162341</v>
      </c>
      <c r="Q201">
        <v>32.799999999999997</v>
      </c>
      <c r="R201" s="3">
        <f t="shared" si="19"/>
        <v>0.81632653061224481</v>
      </c>
      <c r="S201">
        <v>300</v>
      </c>
      <c r="T201">
        <v>9.4049999999999994</v>
      </c>
      <c r="U201">
        <v>39.64</v>
      </c>
      <c r="V201">
        <v>8.9760000000000009</v>
      </c>
      <c r="W201" s="3">
        <f t="shared" si="20"/>
        <v>0.95438596491228089</v>
      </c>
      <c r="X201">
        <v>32.43</v>
      </c>
      <c r="Y201" s="3">
        <f t="shared" si="21"/>
        <v>0.81811301715438944</v>
      </c>
      <c r="Z201">
        <v>291.10000000000002</v>
      </c>
      <c r="AA201">
        <v>78.099999999999994</v>
      </c>
      <c r="AB201">
        <v>25</v>
      </c>
      <c r="AC201" t="s">
        <v>64</v>
      </c>
      <c r="AE201" t="s">
        <v>65</v>
      </c>
      <c r="AF201" t="s">
        <v>66</v>
      </c>
      <c r="AG201" t="s">
        <v>67</v>
      </c>
      <c r="AH201" s="1">
        <v>0.44849537037037035</v>
      </c>
      <c r="AI201" t="s">
        <v>68</v>
      </c>
      <c r="AJ201" t="s">
        <v>69</v>
      </c>
      <c r="AO201">
        <v>7.508</v>
      </c>
      <c r="AP201">
        <v>41.353999999999999</v>
      </c>
      <c r="AQ201">
        <v>12.8</v>
      </c>
      <c r="AR201">
        <v>1.88</v>
      </c>
      <c r="AS201">
        <v>37.451000000000001</v>
      </c>
      <c r="AT201">
        <v>38.4</v>
      </c>
      <c r="AY201">
        <v>2.36</v>
      </c>
      <c r="AZ201" t="s">
        <v>839</v>
      </c>
      <c r="BB201" t="s">
        <v>839</v>
      </c>
      <c r="BD201" t="s">
        <v>68</v>
      </c>
      <c r="BE201" t="s">
        <v>912</v>
      </c>
      <c r="BF201" t="s">
        <v>913</v>
      </c>
      <c r="BG201" t="s">
        <v>914</v>
      </c>
      <c r="BH201">
        <v>0</v>
      </c>
      <c r="BI201">
        <v>0</v>
      </c>
      <c r="BJ201">
        <v>2</v>
      </c>
      <c r="BK201" t="s">
        <v>915</v>
      </c>
      <c r="BL201">
        <v>8.8620000000000001</v>
      </c>
      <c r="BM201">
        <v>8.8620000000000001</v>
      </c>
      <c r="BN201" t="s">
        <v>844</v>
      </c>
      <c r="BO201" s="1">
        <v>0.49510416666666668</v>
      </c>
      <c r="BP201" s="3">
        <f t="shared" si="22"/>
        <v>1.0001798389102527</v>
      </c>
      <c r="BQ201" s="3">
        <f t="shared" si="23"/>
        <v>1.0021884460141273</v>
      </c>
    </row>
    <row r="202" spans="1:69" hidden="1" x14ac:dyDescent="0.35">
      <c r="A202">
        <v>200</v>
      </c>
      <c r="B202">
        <v>3922</v>
      </c>
      <c r="D202">
        <v>20</v>
      </c>
      <c r="E202">
        <v>1</v>
      </c>
      <c r="G202">
        <v>16626.599999999999</v>
      </c>
      <c r="I202" t="s">
        <v>62</v>
      </c>
      <c r="L202" t="s">
        <v>845</v>
      </c>
      <c r="M202">
        <v>9.61</v>
      </c>
      <c r="N202">
        <v>40.18</v>
      </c>
      <c r="O202">
        <v>9.17</v>
      </c>
      <c r="P202" s="3">
        <f t="shared" si="18"/>
        <v>0.95421436004162341</v>
      </c>
      <c r="Q202">
        <v>32.799999999999997</v>
      </c>
      <c r="R202" s="3">
        <f t="shared" si="19"/>
        <v>0.81632653061224481</v>
      </c>
      <c r="S202">
        <v>300</v>
      </c>
      <c r="T202">
        <v>9.39</v>
      </c>
      <c r="U202">
        <v>39.65</v>
      </c>
      <c r="V202">
        <v>8.968</v>
      </c>
      <c r="W202" s="3">
        <f t="shared" si="20"/>
        <v>0.95505857294994667</v>
      </c>
      <c r="X202">
        <v>32.32</v>
      </c>
      <c r="Y202" s="3">
        <f t="shared" si="21"/>
        <v>0.81513240857503155</v>
      </c>
      <c r="Z202">
        <v>289.89999999999998</v>
      </c>
      <c r="AA202">
        <v>77.900000000000006</v>
      </c>
      <c r="AB202">
        <v>25.2</v>
      </c>
      <c r="AC202" t="s">
        <v>64</v>
      </c>
      <c r="AE202" t="s">
        <v>65</v>
      </c>
      <c r="AF202" t="s">
        <v>66</v>
      </c>
      <c r="AG202" s="2">
        <v>44229</v>
      </c>
      <c r="AH202" s="1">
        <v>0.43678240740740742</v>
      </c>
      <c r="AI202" t="s">
        <v>68</v>
      </c>
      <c r="AJ202" t="s">
        <v>69</v>
      </c>
      <c r="AO202">
        <v>7.4980000000000002</v>
      </c>
      <c r="AP202">
        <v>41.241</v>
      </c>
      <c r="AQ202">
        <v>12.8</v>
      </c>
      <c r="AR202">
        <v>1.875</v>
      </c>
      <c r="AS202">
        <v>37.262999999999998</v>
      </c>
      <c r="AT202">
        <v>38.4</v>
      </c>
      <c r="AY202">
        <v>2.36</v>
      </c>
      <c r="AZ202" s="2">
        <v>44288</v>
      </c>
      <c r="BB202" s="2">
        <v>44288</v>
      </c>
      <c r="BD202" t="s">
        <v>68</v>
      </c>
      <c r="BE202" t="s">
        <v>916</v>
      </c>
      <c r="BF202" t="s">
        <v>917</v>
      </c>
      <c r="BG202" t="s">
        <v>918</v>
      </c>
      <c r="BH202">
        <v>0</v>
      </c>
      <c r="BI202">
        <v>1</v>
      </c>
      <c r="BJ202">
        <v>2</v>
      </c>
      <c r="BK202" t="s">
        <v>919</v>
      </c>
      <c r="BL202">
        <v>8.8620000000000001</v>
      </c>
      <c r="BM202">
        <v>8.8620000000000001</v>
      </c>
      <c r="BN202" t="s">
        <v>844</v>
      </c>
      <c r="BO202" s="1">
        <v>0.49510416666666668</v>
      </c>
      <c r="BP202" s="3">
        <f t="shared" si="22"/>
        <v>1.0008847203979265</v>
      </c>
      <c r="BQ202" s="3">
        <f t="shared" si="23"/>
        <v>0.99853720050441375</v>
      </c>
    </row>
    <row r="203" spans="1:69" hidden="1" x14ac:dyDescent="0.35">
      <c r="A203">
        <v>201</v>
      </c>
      <c r="B203">
        <v>4267</v>
      </c>
      <c r="D203">
        <v>20</v>
      </c>
      <c r="E203">
        <v>1</v>
      </c>
      <c r="G203">
        <v>16626.599999999999</v>
      </c>
      <c r="I203" t="s">
        <v>62</v>
      </c>
      <c r="L203" t="s">
        <v>860</v>
      </c>
      <c r="M203">
        <v>9.61</v>
      </c>
      <c r="N203">
        <v>40.18</v>
      </c>
      <c r="O203">
        <v>9.17</v>
      </c>
      <c r="P203" s="3">
        <f t="shared" si="18"/>
        <v>0.95421436004162341</v>
      </c>
      <c r="Q203">
        <v>32.799999999999997</v>
      </c>
      <c r="R203" s="3">
        <f t="shared" si="19"/>
        <v>0.81632653061224481</v>
      </c>
      <c r="S203">
        <v>300</v>
      </c>
      <c r="T203">
        <v>9.3940000000000001</v>
      </c>
      <c r="U203">
        <v>39.619999999999997</v>
      </c>
      <c r="V203">
        <v>8.9879999999999995</v>
      </c>
      <c r="W203" s="3">
        <f t="shared" si="20"/>
        <v>0.95678092399403869</v>
      </c>
      <c r="X203">
        <v>32.25</v>
      </c>
      <c r="Y203" s="3">
        <f t="shared" si="21"/>
        <v>0.8139828369510349</v>
      </c>
      <c r="Z203">
        <v>289.8</v>
      </c>
      <c r="AA203">
        <v>77.900000000000006</v>
      </c>
      <c r="AB203">
        <v>25.1</v>
      </c>
      <c r="AC203" t="s">
        <v>64</v>
      </c>
      <c r="AE203" t="s">
        <v>65</v>
      </c>
      <c r="AF203" t="s">
        <v>66</v>
      </c>
      <c r="AG203" t="s">
        <v>67</v>
      </c>
      <c r="AH203" s="1">
        <v>0.45854166666666668</v>
      </c>
      <c r="AI203" t="s">
        <v>68</v>
      </c>
      <c r="AJ203" t="s">
        <v>69</v>
      </c>
      <c r="AO203">
        <v>7.508</v>
      </c>
      <c r="AP203">
        <v>41.542000000000002</v>
      </c>
      <c r="AQ203">
        <v>12.8</v>
      </c>
      <c r="AR203">
        <v>1.88</v>
      </c>
      <c r="AS203">
        <v>37.488</v>
      </c>
      <c r="AT203">
        <v>38.4</v>
      </c>
      <c r="AY203">
        <v>2.36</v>
      </c>
      <c r="AZ203" t="s">
        <v>839</v>
      </c>
      <c r="BB203" t="s">
        <v>839</v>
      </c>
      <c r="BD203" t="s">
        <v>68</v>
      </c>
      <c r="BE203" t="s">
        <v>920</v>
      </c>
      <c r="BF203" t="s">
        <v>921</v>
      </c>
      <c r="BG203" t="s">
        <v>922</v>
      </c>
      <c r="BH203">
        <v>0</v>
      </c>
      <c r="BI203">
        <v>0</v>
      </c>
      <c r="BJ203">
        <v>1</v>
      </c>
      <c r="BK203" t="s">
        <v>923</v>
      </c>
      <c r="BL203">
        <v>8.8620000000000001</v>
      </c>
      <c r="BM203">
        <v>8.8620000000000001</v>
      </c>
      <c r="BN203" t="s">
        <v>865</v>
      </c>
      <c r="BO203" s="1">
        <v>0.40766203703703702</v>
      </c>
      <c r="BP203" s="3">
        <f t="shared" si="22"/>
        <v>1.0026897142402085</v>
      </c>
      <c r="BQ203" s="3">
        <f t="shared" si="23"/>
        <v>0.99712897526501787</v>
      </c>
    </row>
    <row r="204" spans="1:69" hidden="1" x14ac:dyDescent="0.35">
      <c r="A204">
        <v>202</v>
      </c>
      <c r="B204">
        <v>4324</v>
      </c>
      <c r="D204">
        <v>20</v>
      </c>
      <c r="E204">
        <v>1</v>
      </c>
      <c r="G204">
        <v>16626.599999999999</v>
      </c>
      <c r="I204" t="s">
        <v>62</v>
      </c>
      <c r="L204" t="s">
        <v>850</v>
      </c>
      <c r="M204">
        <v>9.61</v>
      </c>
      <c r="N204">
        <v>40.18</v>
      </c>
      <c r="O204">
        <v>9.17</v>
      </c>
      <c r="P204" s="3">
        <f t="shared" si="18"/>
        <v>0.95421436004162341</v>
      </c>
      <c r="Q204">
        <v>32.799999999999997</v>
      </c>
      <c r="R204" s="3">
        <f t="shared" si="19"/>
        <v>0.81632653061224481</v>
      </c>
      <c r="S204">
        <v>300</v>
      </c>
      <c r="T204">
        <v>9.3849999999999998</v>
      </c>
      <c r="U204">
        <v>39.590000000000003</v>
      </c>
      <c r="V204">
        <v>8.98</v>
      </c>
      <c r="W204" s="3">
        <f t="shared" si="20"/>
        <v>0.95684603090037301</v>
      </c>
      <c r="X204">
        <v>32.28</v>
      </c>
      <c r="Y204" s="3">
        <f t="shared" si="21"/>
        <v>0.81535741348825452</v>
      </c>
      <c r="Z204">
        <v>289.89999999999998</v>
      </c>
      <c r="AA204">
        <v>78</v>
      </c>
      <c r="AB204">
        <v>25.1</v>
      </c>
      <c r="AC204" t="s">
        <v>64</v>
      </c>
      <c r="AE204" t="s">
        <v>65</v>
      </c>
      <c r="AF204" t="s">
        <v>66</v>
      </c>
      <c r="AG204" t="s">
        <v>67</v>
      </c>
      <c r="AH204" s="1">
        <v>0.45285879629629627</v>
      </c>
      <c r="AI204" t="s">
        <v>68</v>
      </c>
      <c r="AJ204" t="s">
        <v>69</v>
      </c>
      <c r="AO204">
        <v>7.5129999999999999</v>
      </c>
      <c r="AP204">
        <v>41.392000000000003</v>
      </c>
      <c r="AQ204">
        <v>12.8</v>
      </c>
      <c r="AR204">
        <v>1.88</v>
      </c>
      <c r="AS204">
        <v>37.375999999999998</v>
      </c>
      <c r="AT204">
        <v>38.4</v>
      </c>
      <c r="AY204">
        <v>2.36</v>
      </c>
      <c r="AZ204" t="s">
        <v>839</v>
      </c>
      <c r="BB204" t="s">
        <v>839</v>
      </c>
      <c r="BD204" t="s">
        <v>68</v>
      </c>
      <c r="BE204" t="s">
        <v>924</v>
      </c>
      <c r="BF204" t="s">
        <v>925</v>
      </c>
      <c r="BG204" t="s">
        <v>926</v>
      </c>
      <c r="BH204">
        <v>0</v>
      </c>
      <c r="BI204">
        <v>0</v>
      </c>
      <c r="BJ204">
        <v>2</v>
      </c>
      <c r="BK204" t="s">
        <v>927</v>
      </c>
      <c r="BL204">
        <v>8.8620000000000001</v>
      </c>
      <c r="BM204">
        <v>8.8620000000000001</v>
      </c>
      <c r="BN204" s="2">
        <v>43775</v>
      </c>
      <c r="BO204" s="1">
        <v>0.61479166666666663</v>
      </c>
      <c r="BP204" s="3">
        <f t="shared" si="22"/>
        <v>1.0027579451420483</v>
      </c>
      <c r="BQ204" s="3">
        <f t="shared" si="23"/>
        <v>0.99881283152311195</v>
      </c>
    </row>
    <row r="205" spans="1:69" hidden="1" x14ac:dyDescent="0.35">
      <c r="A205">
        <v>203</v>
      </c>
      <c r="B205">
        <v>4324</v>
      </c>
      <c r="D205">
        <v>20</v>
      </c>
      <c r="E205">
        <v>1</v>
      </c>
      <c r="G205">
        <v>16626.599999999999</v>
      </c>
      <c r="I205" t="s">
        <v>62</v>
      </c>
      <c r="L205" t="s">
        <v>855</v>
      </c>
      <c r="M205">
        <v>9.61</v>
      </c>
      <c r="N205">
        <v>40.18</v>
      </c>
      <c r="O205">
        <v>9.17</v>
      </c>
      <c r="P205" s="3">
        <f t="shared" si="18"/>
        <v>0.95421436004162341</v>
      </c>
      <c r="Q205">
        <v>32.799999999999997</v>
      </c>
      <c r="R205" s="3">
        <f t="shared" si="19"/>
        <v>0.81632653061224481</v>
      </c>
      <c r="S205">
        <v>300</v>
      </c>
      <c r="T205">
        <v>9.3710000000000004</v>
      </c>
      <c r="U205">
        <v>39.54</v>
      </c>
      <c r="V205">
        <v>8.9489999999999998</v>
      </c>
      <c r="W205" s="3">
        <f t="shared" si="20"/>
        <v>0.95496745277985262</v>
      </c>
      <c r="X205">
        <v>32.11</v>
      </c>
      <c r="Y205" s="3">
        <f t="shared" si="21"/>
        <v>0.81208902377339398</v>
      </c>
      <c r="Z205">
        <v>287.39999999999998</v>
      </c>
      <c r="AA205">
        <v>77.5</v>
      </c>
      <c r="AB205">
        <v>24.9</v>
      </c>
      <c r="AC205" t="s">
        <v>64</v>
      </c>
      <c r="AE205" t="s">
        <v>65</v>
      </c>
      <c r="AF205" t="s">
        <v>66</v>
      </c>
      <c r="AG205" s="2">
        <v>44229</v>
      </c>
      <c r="AH205" s="1">
        <v>0.44564814814814813</v>
      </c>
      <c r="AI205" t="s">
        <v>68</v>
      </c>
      <c r="AJ205" t="s">
        <v>69</v>
      </c>
      <c r="AO205">
        <v>7.4980000000000002</v>
      </c>
      <c r="AP205">
        <v>41.241</v>
      </c>
      <c r="AQ205">
        <v>12.8</v>
      </c>
      <c r="AR205">
        <v>1.88</v>
      </c>
      <c r="AS205">
        <v>37.151000000000003</v>
      </c>
      <c r="AT205">
        <v>38.4</v>
      </c>
      <c r="AY205">
        <v>2.36</v>
      </c>
      <c r="AZ205" s="2">
        <v>44288</v>
      </c>
      <c r="BB205" s="2">
        <v>44288</v>
      </c>
      <c r="BD205" t="s">
        <v>68</v>
      </c>
      <c r="BE205" t="s">
        <v>928</v>
      </c>
      <c r="BF205" t="s">
        <v>929</v>
      </c>
      <c r="BG205" t="s">
        <v>930</v>
      </c>
      <c r="BH205">
        <v>0</v>
      </c>
      <c r="BI205">
        <v>1</v>
      </c>
      <c r="BJ205">
        <v>2</v>
      </c>
      <c r="BK205" t="s">
        <v>931</v>
      </c>
      <c r="BL205">
        <v>8.8620000000000001</v>
      </c>
      <c r="BM205">
        <v>8.8620000000000001</v>
      </c>
      <c r="BN205" s="2">
        <v>43775</v>
      </c>
      <c r="BO205" s="1">
        <v>0.61479166666666663</v>
      </c>
      <c r="BP205" s="3">
        <f t="shared" si="22"/>
        <v>1.0007892280495509</v>
      </c>
      <c r="BQ205" s="3">
        <f t="shared" si="23"/>
        <v>0.99480905412240772</v>
      </c>
    </row>
    <row r="206" spans="1:69" hidden="1" x14ac:dyDescent="0.35">
      <c r="A206">
        <v>204</v>
      </c>
      <c r="B206">
        <v>4318</v>
      </c>
      <c r="D206">
        <v>20</v>
      </c>
      <c r="E206">
        <v>1</v>
      </c>
      <c r="G206">
        <v>16626.599999999999</v>
      </c>
      <c r="I206" t="s">
        <v>62</v>
      </c>
      <c r="L206" t="s">
        <v>886</v>
      </c>
      <c r="M206">
        <v>9.61</v>
      </c>
      <c r="N206">
        <v>40.18</v>
      </c>
      <c r="O206">
        <v>9.17</v>
      </c>
      <c r="P206" s="3">
        <f t="shared" si="18"/>
        <v>0.95421436004162341</v>
      </c>
      <c r="Q206">
        <v>32.799999999999997</v>
      </c>
      <c r="R206" s="3">
        <f t="shared" si="19"/>
        <v>0.81632653061224481</v>
      </c>
      <c r="S206">
        <v>300</v>
      </c>
      <c r="T206">
        <v>9.3859999999999992</v>
      </c>
      <c r="U206">
        <v>39.520000000000003</v>
      </c>
      <c r="V206">
        <v>8.9659999999999993</v>
      </c>
      <c r="W206" s="3">
        <f t="shared" si="20"/>
        <v>0.95525250372895798</v>
      </c>
      <c r="X206">
        <v>32.15</v>
      </c>
      <c r="Y206" s="3">
        <f t="shared" si="21"/>
        <v>0.81351214574898778</v>
      </c>
      <c r="Z206">
        <v>288.2</v>
      </c>
      <c r="AA206">
        <v>77.7</v>
      </c>
      <c r="AB206">
        <v>25.2</v>
      </c>
      <c r="AC206" t="s">
        <v>64</v>
      </c>
      <c r="AE206" t="s">
        <v>65</v>
      </c>
      <c r="AF206" t="s">
        <v>66</v>
      </c>
      <c r="AG206" t="s">
        <v>67</v>
      </c>
      <c r="AH206" s="1">
        <v>0.46248842592592593</v>
      </c>
      <c r="AI206" t="s">
        <v>68</v>
      </c>
      <c r="AJ206" t="s">
        <v>69</v>
      </c>
      <c r="AO206">
        <v>7.508</v>
      </c>
      <c r="AP206">
        <v>41.392000000000003</v>
      </c>
      <c r="AQ206">
        <v>12.8</v>
      </c>
      <c r="AR206">
        <v>1.88</v>
      </c>
      <c r="AS206">
        <v>37.412999999999997</v>
      </c>
      <c r="AT206">
        <v>38.4</v>
      </c>
      <c r="AY206">
        <v>2.36</v>
      </c>
      <c r="AZ206" t="s">
        <v>839</v>
      </c>
      <c r="BB206" t="s">
        <v>839</v>
      </c>
      <c r="BD206" t="s">
        <v>68</v>
      </c>
      <c r="BE206" t="s">
        <v>932</v>
      </c>
      <c r="BF206" t="s">
        <v>933</v>
      </c>
      <c r="BG206" t="s">
        <v>934</v>
      </c>
      <c r="BH206">
        <v>0</v>
      </c>
      <c r="BI206">
        <v>0</v>
      </c>
      <c r="BJ206">
        <v>2</v>
      </c>
      <c r="BK206" t="s">
        <v>935</v>
      </c>
      <c r="BL206">
        <v>8.8620000000000001</v>
      </c>
      <c r="BM206">
        <v>8.8620000000000001</v>
      </c>
      <c r="BN206" s="2">
        <v>43805</v>
      </c>
      <c r="BO206" s="1">
        <v>0.47018518518518521</v>
      </c>
      <c r="BP206" s="3">
        <f t="shared" si="22"/>
        <v>1.0010879564705872</v>
      </c>
      <c r="BQ206" s="3">
        <f t="shared" si="23"/>
        <v>0.99655237854251011</v>
      </c>
    </row>
    <row r="207" spans="1:69" hidden="1" x14ac:dyDescent="0.35">
      <c r="A207">
        <v>205</v>
      </c>
      <c r="B207">
        <v>4318</v>
      </c>
      <c r="D207">
        <v>20</v>
      </c>
      <c r="E207">
        <v>1</v>
      </c>
      <c r="G207">
        <v>16626.599999999999</v>
      </c>
      <c r="I207" t="s">
        <v>62</v>
      </c>
      <c r="L207" t="s">
        <v>891</v>
      </c>
      <c r="M207">
        <v>9.61</v>
      </c>
      <c r="N207">
        <v>40.18</v>
      </c>
      <c r="O207">
        <v>9.17</v>
      </c>
      <c r="P207" s="3">
        <f t="shared" si="18"/>
        <v>0.95421436004162341</v>
      </c>
      <c r="Q207">
        <v>32.799999999999997</v>
      </c>
      <c r="R207" s="3">
        <f t="shared" si="19"/>
        <v>0.81632653061224481</v>
      </c>
      <c r="S207">
        <v>300</v>
      </c>
      <c r="T207">
        <v>9.3620000000000001</v>
      </c>
      <c r="U207">
        <v>39.49</v>
      </c>
      <c r="V207">
        <v>8.9350000000000005</v>
      </c>
      <c r="W207" s="3">
        <f t="shared" si="20"/>
        <v>0.95439008758812227</v>
      </c>
      <c r="X207">
        <v>31.95</v>
      </c>
      <c r="Y207" s="3">
        <f t="shared" si="21"/>
        <v>0.80906558622436053</v>
      </c>
      <c r="Z207">
        <v>285.39999999999998</v>
      </c>
      <c r="AA207">
        <v>77.2</v>
      </c>
      <c r="AB207">
        <v>25.3</v>
      </c>
      <c r="AC207" t="s">
        <v>64</v>
      </c>
      <c r="AE207" t="s">
        <v>65</v>
      </c>
      <c r="AF207" t="s">
        <v>66</v>
      </c>
      <c r="AG207" s="2">
        <v>44229</v>
      </c>
      <c r="AH207" s="1">
        <v>0.44211805555555556</v>
      </c>
      <c r="AI207" t="s">
        <v>68</v>
      </c>
      <c r="AJ207" t="s">
        <v>69</v>
      </c>
      <c r="AO207">
        <v>7.4980000000000002</v>
      </c>
      <c r="AP207">
        <v>41.241</v>
      </c>
      <c r="AQ207">
        <v>12.8</v>
      </c>
      <c r="AR207">
        <v>1.88</v>
      </c>
      <c r="AS207">
        <v>37.151000000000003</v>
      </c>
      <c r="AT207">
        <v>38.4</v>
      </c>
      <c r="AY207">
        <v>2.36</v>
      </c>
      <c r="AZ207" s="2">
        <v>44288</v>
      </c>
      <c r="BB207" s="2">
        <v>44288</v>
      </c>
      <c r="BD207" t="s">
        <v>68</v>
      </c>
      <c r="BE207" t="s">
        <v>936</v>
      </c>
      <c r="BF207" t="s">
        <v>937</v>
      </c>
      <c r="BG207" t="s">
        <v>938</v>
      </c>
      <c r="BH207">
        <v>0</v>
      </c>
      <c r="BI207">
        <v>1</v>
      </c>
      <c r="BJ207">
        <v>2</v>
      </c>
      <c r="BK207" t="s">
        <v>939</v>
      </c>
      <c r="BL207">
        <v>8.8620000000000001</v>
      </c>
      <c r="BM207">
        <v>8.8620000000000001</v>
      </c>
      <c r="BN207" s="2">
        <v>43805</v>
      </c>
      <c r="BO207" s="1">
        <v>0.47018518518518521</v>
      </c>
      <c r="BP207" s="3">
        <f t="shared" si="22"/>
        <v>1.0001841594026013</v>
      </c>
      <c r="BQ207" s="3">
        <f t="shared" si="23"/>
        <v>0.99110534312484178</v>
      </c>
    </row>
    <row r="208" spans="1:69" hidden="1" x14ac:dyDescent="0.35">
      <c r="A208">
        <v>206</v>
      </c>
      <c r="B208">
        <v>4328</v>
      </c>
      <c r="D208">
        <v>20</v>
      </c>
      <c r="E208">
        <v>1</v>
      </c>
      <c r="G208">
        <v>16626.599999999999</v>
      </c>
      <c r="I208" t="s">
        <v>62</v>
      </c>
      <c r="L208" t="s">
        <v>850</v>
      </c>
      <c r="M208">
        <v>9.61</v>
      </c>
      <c r="N208">
        <v>40.18</v>
      </c>
      <c r="O208">
        <v>9.17</v>
      </c>
      <c r="P208" s="3">
        <f t="shared" si="18"/>
        <v>0.95421436004162341</v>
      </c>
      <c r="Q208">
        <v>32.799999999999997</v>
      </c>
      <c r="R208" s="3">
        <f t="shared" si="19"/>
        <v>0.81632653061224481</v>
      </c>
      <c r="S208">
        <v>300</v>
      </c>
      <c r="T208">
        <v>9.3919999999999995</v>
      </c>
      <c r="U208">
        <v>39.53</v>
      </c>
      <c r="V208">
        <v>8.9830000000000005</v>
      </c>
      <c r="W208" s="3">
        <f t="shared" si="20"/>
        <v>0.95645229982964242</v>
      </c>
      <c r="X208">
        <v>32.229999999999997</v>
      </c>
      <c r="Y208" s="3">
        <f t="shared" si="21"/>
        <v>0.81533012901593716</v>
      </c>
      <c r="Z208">
        <v>289.5</v>
      </c>
      <c r="AA208">
        <v>78</v>
      </c>
      <c r="AB208">
        <v>25</v>
      </c>
      <c r="AC208" t="s">
        <v>64</v>
      </c>
      <c r="AE208" t="s">
        <v>65</v>
      </c>
      <c r="AF208" t="s">
        <v>66</v>
      </c>
      <c r="AG208" t="s">
        <v>67</v>
      </c>
      <c r="AH208" s="1">
        <v>0.45597222222222222</v>
      </c>
      <c r="AI208" t="s">
        <v>68</v>
      </c>
      <c r="AJ208" t="s">
        <v>69</v>
      </c>
      <c r="AO208">
        <v>7.508</v>
      </c>
      <c r="AP208">
        <v>41.353999999999999</v>
      </c>
      <c r="AQ208">
        <v>12.8</v>
      </c>
      <c r="AR208">
        <v>1.88</v>
      </c>
      <c r="AS208">
        <v>37.335999999999999</v>
      </c>
      <c r="AT208">
        <v>38.4</v>
      </c>
      <c r="AY208">
        <v>2.36</v>
      </c>
      <c r="AZ208" t="s">
        <v>839</v>
      </c>
      <c r="BB208" t="s">
        <v>839</v>
      </c>
      <c r="BD208" t="s">
        <v>68</v>
      </c>
      <c r="BE208" t="s">
        <v>940</v>
      </c>
      <c r="BF208" t="s">
        <v>941</v>
      </c>
      <c r="BG208" t="s">
        <v>942</v>
      </c>
      <c r="BH208">
        <v>0</v>
      </c>
      <c r="BI208">
        <v>0</v>
      </c>
      <c r="BJ208">
        <v>1</v>
      </c>
      <c r="BK208" t="s">
        <v>943</v>
      </c>
      <c r="BL208">
        <v>8.8620000000000001</v>
      </c>
      <c r="BM208">
        <v>8.8620000000000001</v>
      </c>
      <c r="BN208" s="2">
        <v>43775</v>
      </c>
      <c r="BO208" s="1">
        <v>0.63271990740740736</v>
      </c>
      <c r="BP208" s="3">
        <f t="shared" si="22"/>
        <v>1.0023453218498215</v>
      </c>
      <c r="BQ208" s="3">
        <f t="shared" si="23"/>
        <v>0.99877940804452314</v>
      </c>
    </row>
    <row r="209" spans="1:69" hidden="1" x14ac:dyDescent="0.35">
      <c r="A209">
        <v>207</v>
      </c>
      <c r="B209">
        <v>4333</v>
      </c>
      <c r="D209">
        <v>20</v>
      </c>
      <c r="E209">
        <v>1</v>
      </c>
      <c r="G209">
        <v>16626.599999999999</v>
      </c>
      <c r="I209" t="s">
        <v>62</v>
      </c>
      <c r="L209" t="s">
        <v>850</v>
      </c>
      <c r="M209">
        <v>9.61</v>
      </c>
      <c r="N209">
        <v>40.18</v>
      </c>
      <c r="O209">
        <v>9.17</v>
      </c>
      <c r="P209" s="3">
        <f t="shared" si="18"/>
        <v>0.95421436004162341</v>
      </c>
      <c r="Q209">
        <v>32.799999999999997</v>
      </c>
      <c r="R209" s="3">
        <f t="shared" si="19"/>
        <v>0.81632653061224481</v>
      </c>
      <c r="S209">
        <v>300</v>
      </c>
      <c r="T209">
        <v>9.375</v>
      </c>
      <c r="U209">
        <v>39.42</v>
      </c>
      <c r="V209">
        <v>8.9629999999999992</v>
      </c>
      <c r="W209" s="3">
        <f t="shared" si="20"/>
        <v>0.9560533333333332</v>
      </c>
      <c r="X209">
        <v>32.090000000000003</v>
      </c>
      <c r="Y209" s="3">
        <f t="shared" si="21"/>
        <v>0.8140537798072045</v>
      </c>
      <c r="Z209">
        <v>287.60000000000002</v>
      </c>
      <c r="AA209">
        <v>77.8</v>
      </c>
      <c r="AB209">
        <v>25.2</v>
      </c>
      <c r="AC209" t="s">
        <v>64</v>
      </c>
      <c r="AE209" t="s">
        <v>65</v>
      </c>
      <c r="AF209" t="s">
        <v>66</v>
      </c>
      <c r="AG209" t="s">
        <v>67</v>
      </c>
      <c r="AH209" s="1">
        <v>0.46003472222222225</v>
      </c>
      <c r="AI209" t="s">
        <v>68</v>
      </c>
      <c r="AJ209" t="s">
        <v>69</v>
      </c>
      <c r="AO209">
        <v>7.5129999999999999</v>
      </c>
      <c r="AP209">
        <v>41.241</v>
      </c>
      <c r="AQ209">
        <v>12.8</v>
      </c>
      <c r="AR209">
        <v>1.88</v>
      </c>
      <c r="AS209">
        <v>37.188000000000002</v>
      </c>
      <c r="AT209">
        <v>38.4</v>
      </c>
      <c r="AY209">
        <v>2.36</v>
      </c>
      <c r="AZ209" t="s">
        <v>839</v>
      </c>
      <c r="BB209" t="s">
        <v>839</v>
      </c>
      <c r="BD209" t="s">
        <v>68</v>
      </c>
      <c r="BE209" t="s">
        <v>944</v>
      </c>
      <c r="BF209" t="s">
        <v>945</v>
      </c>
      <c r="BG209" t="s">
        <v>946</v>
      </c>
      <c r="BH209">
        <v>0</v>
      </c>
      <c r="BI209">
        <v>0</v>
      </c>
      <c r="BJ209">
        <v>2</v>
      </c>
      <c r="BK209" t="s">
        <v>947</v>
      </c>
      <c r="BL209">
        <v>8.8620000000000001</v>
      </c>
      <c r="BM209">
        <v>8.8620000000000001</v>
      </c>
      <c r="BN209" s="2">
        <v>43775</v>
      </c>
      <c r="BO209" s="1">
        <v>0.66980324074074071</v>
      </c>
      <c r="BP209" s="3">
        <f t="shared" si="22"/>
        <v>1.0019272119229368</v>
      </c>
      <c r="BQ209" s="3">
        <f t="shared" si="23"/>
        <v>0.99721588026382568</v>
      </c>
    </row>
    <row r="210" spans="1:69" hidden="1" x14ac:dyDescent="0.35">
      <c r="A210">
        <v>208</v>
      </c>
      <c r="B210">
        <v>4333</v>
      </c>
      <c r="D210">
        <v>20</v>
      </c>
      <c r="E210">
        <v>1</v>
      </c>
      <c r="G210">
        <v>16626.599999999999</v>
      </c>
      <c r="I210" t="s">
        <v>62</v>
      </c>
      <c r="L210" t="s">
        <v>855</v>
      </c>
      <c r="M210">
        <v>9.61</v>
      </c>
      <c r="N210">
        <v>40.18</v>
      </c>
      <c r="O210">
        <v>9.17</v>
      </c>
      <c r="P210" s="3">
        <f t="shared" si="18"/>
        <v>0.95421436004162341</v>
      </c>
      <c r="Q210">
        <v>32.799999999999997</v>
      </c>
      <c r="R210" s="3">
        <f t="shared" si="19"/>
        <v>0.81632653061224481</v>
      </c>
      <c r="S210">
        <v>300</v>
      </c>
      <c r="T210">
        <v>9.3330000000000002</v>
      </c>
      <c r="U210">
        <v>39.4</v>
      </c>
      <c r="V210">
        <v>8.9329999999999998</v>
      </c>
      <c r="W210" s="3">
        <f t="shared" si="20"/>
        <v>0.95714132647594552</v>
      </c>
      <c r="X210">
        <v>31.97</v>
      </c>
      <c r="Y210" s="3">
        <f t="shared" si="21"/>
        <v>0.81142131979695431</v>
      </c>
      <c r="Z210">
        <v>285.60000000000002</v>
      </c>
      <c r="AA210">
        <v>77.7</v>
      </c>
      <c r="AB210">
        <v>25.1</v>
      </c>
      <c r="AC210" t="s">
        <v>64</v>
      </c>
      <c r="AE210" t="s">
        <v>65</v>
      </c>
      <c r="AF210" t="s">
        <v>66</v>
      </c>
      <c r="AG210" s="2">
        <v>44229</v>
      </c>
      <c r="AH210" s="1">
        <v>0.44445601851851851</v>
      </c>
      <c r="AI210" t="s">
        <v>68</v>
      </c>
      <c r="AJ210" t="s">
        <v>69</v>
      </c>
      <c r="AO210">
        <v>7.4980000000000002</v>
      </c>
      <c r="AP210">
        <v>40.978999999999999</v>
      </c>
      <c r="AQ210">
        <v>12.8</v>
      </c>
      <c r="AR210">
        <v>1.88</v>
      </c>
      <c r="AS210">
        <v>36.963000000000001</v>
      </c>
      <c r="AT210">
        <v>38.4</v>
      </c>
      <c r="AY210">
        <v>2.36</v>
      </c>
      <c r="AZ210" s="2">
        <v>44288</v>
      </c>
      <c r="BB210" s="2">
        <v>44288</v>
      </c>
      <c r="BD210" t="s">
        <v>68</v>
      </c>
      <c r="BE210" t="s">
        <v>948</v>
      </c>
      <c r="BF210" t="s">
        <v>949</v>
      </c>
      <c r="BG210" t="s">
        <v>950</v>
      </c>
      <c r="BH210">
        <v>0</v>
      </c>
      <c r="BI210">
        <v>1</v>
      </c>
      <c r="BJ210">
        <v>2</v>
      </c>
      <c r="BK210" t="s">
        <v>951</v>
      </c>
      <c r="BL210">
        <v>8.8620000000000001</v>
      </c>
      <c r="BM210">
        <v>8.8620000000000001</v>
      </c>
      <c r="BN210" s="2">
        <v>43775</v>
      </c>
      <c r="BO210" s="1">
        <v>0.66980324074074071</v>
      </c>
      <c r="BP210" s="3">
        <f t="shared" si="22"/>
        <v>1.003067409752872</v>
      </c>
      <c r="BQ210" s="3">
        <f t="shared" si="23"/>
        <v>0.99399111675126917</v>
      </c>
    </row>
    <row r="211" spans="1:69" hidden="1" x14ac:dyDescent="0.35">
      <c r="A211">
        <v>209</v>
      </c>
      <c r="B211">
        <v>4329</v>
      </c>
      <c r="D211">
        <v>20</v>
      </c>
      <c r="E211">
        <v>1</v>
      </c>
      <c r="G211">
        <v>16626.599999999999</v>
      </c>
      <c r="I211" t="s">
        <v>62</v>
      </c>
      <c r="L211" t="s">
        <v>850</v>
      </c>
      <c r="M211">
        <v>9.61</v>
      </c>
      <c r="N211">
        <v>40.18</v>
      </c>
      <c r="O211">
        <v>9.17</v>
      </c>
      <c r="P211" s="3">
        <f t="shared" si="18"/>
        <v>0.95421436004162341</v>
      </c>
      <c r="Q211">
        <v>32.799999999999997</v>
      </c>
      <c r="R211" s="3">
        <f t="shared" si="19"/>
        <v>0.81632653061224481</v>
      </c>
      <c r="S211">
        <v>300</v>
      </c>
      <c r="T211">
        <v>9.3789999999999996</v>
      </c>
      <c r="U211">
        <v>39.53</v>
      </c>
      <c r="V211">
        <v>8.9629999999999992</v>
      </c>
      <c r="W211" s="3">
        <f t="shared" si="20"/>
        <v>0.95564559121441517</v>
      </c>
      <c r="X211">
        <v>32.24</v>
      </c>
      <c r="Y211" s="3">
        <f t="shared" si="21"/>
        <v>0.8155831014419429</v>
      </c>
      <c r="Z211">
        <v>289</v>
      </c>
      <c r="AA211">
        <v>77.900000000000006</v>
      </c>
      <c r="AB211">
        <v>25.1</v>
      </c>
      <c r="AC211" t="s">
        <v>64</v>
      </c>
      <c r="AE211" t="s">
        <v>65</v>
      </c>
      <c r="AF211" t="s">
        <v>66</v>
      </c>
      <c r="AG211" t="s">
        <v>67</v>
      </c>
      <c r="AH211" s="1">
        <v>0.45682870370370371</v>
      </c>
      <c r="AI211" t="s">
        <v>68</v>
      </c>
      <c r="AJ211" t="s">
        <v>69</v>
      </c>
      <c r="AO211">
        <v>7.508</v>
      </c>
      <c r="AP211">
        <v>41.353999999999999</v>
      </c>
      <c r="AQ211">
        <v>12.8</v>
      </c>
      <c r="AR211">
        <v>1.88</v>
      </c>
      <c r="AS211">
        <v>37.412999999999997</v>
      </c>
      <c r="AT211">
        <v>38.4</v>
      </c>
      <c r="AY211">
        <v>2.36</v>
      </c>
      <c r="AZ211" t="s">
        <v>839</v>
      </c>
      <c r="BB211" t="s">
        <v>839</v>
      </c>
      <c r="BD211" t="s">
        <v>68</v>
      </c>
      <c r="BE211" t="s">
        <v>952</v>
      </c>
      <c r="BF211" t="s">
        <v>953</v>
      </c>
      <c r="BG211" t="s">
        <v>954</v>
      </c>
      <c r="BH211">
        <v>0</v>
      </c>
      <c r="BI211">
        <v>0</v>
      </c>
      <c r="BJ211">
        <v>1</v>
      </c>
      <c r="BK211" t="s">
        <v>955</v>
      </c>
      <c r="BL211">
        <v>8.8620000000000001</v>
      </c>
      <c r="BM211">
        <v>8.8620000000000001</v>
      </c>
      <c r="BN211" s="2">
        <v>43775</v>
      </c>
      <c r="BO211" s="1">
        <v>0.64120370370370372</v>
      </c>
      <c r="BP211" s="3">
        <f t="shared" si="22"/>
        <v>1.0014999052966771</v>
      </c>
      <c r="BQ211" s="3">
        <f t="shared" si="23"/>
        <v>0.99908929926638013</v>
      </c>
    </row>
    <row r="212" spans="1:69" hidden="1" x14ac:dyDescent="0.35">
      <c r="A212">
        <v>210</v>
      </c>
      <c r="B212">
        <v>4336</v>
      </c>
      <c r="D212">
        <v>20</v>
      </c>
      <c r="E212">
        <v>1</v>
      </c>
      <c r="G212">
        <v>16626.599999999999</v>
      </c>
      <c r="I212" t="s">
        <v>62</v>
      </c>
      <c r="L212" t="s">
        <v>850</v>
      </c>
      <c r="M212">
        <v>9.61</v>
      </c>
      <c r="N212">
        <v>40.18</v>
      </c>
      <c r="O212">
        <v>9.17</v>
      </c>
      <c r="P212" s="3">
        <f t="shared" si="18"/>
        <v>0.95421436004162341</v>
      </c>
      <c r="Q212">
        <v>32.799999999999997</v>
      </c>
      <c r="R212" s="3">
        <f t="shared" si="19"/>
        <v>0.81632653061224481</v>
      </c>
      <c r="S212">
        <v>300</v>
      </c>
      <c r="T212">
        <v>9.4109999999999996</v>
      </c>
      <c r="U212">
        <v>39.5</v>
      </c>
      <c r="V212">
        <v>8.9789999999999992</v>
      </c>
      <c r="W212" s="3">
        <f t="shared" si="20"/>
        <v>0.95409627032196365</v>
      </c>
      <c r="X212">
        <v>32.21</v>
      </c>
      <c r="Y212" s="3">
        <f t="shared" si="21"/>
        <v>0.81544303797468354</v>
      </c>
      <c r="Z212">
        <v>289.2</v>
      </c>
      <c r="AA212">
        <v>77.8</v>
      </c>
      <c r="AB212">
        <v>25.2</v>
      </c>
      <c r="AC212" t="s">
        <v>64</v>
      </c>
      <c r="AE212" t="s">
        <v>65</v>
      </c>
      <c r="AF212" t="s">
        <v>66</v>
      </c>
      <c r="AG212" t="s">
        <v>67</v>
      </c>
      <c r="AH212" s="1">
        <v>0.46084490740740741</v>
      </c>
      <c r="AI212" t="s">
        <v>68</v>
      </c>
      <c r="AJ212" t="s">
        <v>69</v>
      </c>
      <c r="AO212">
        <v>7.5129999999999999</v>
      </c>
      <c r="AP212">
        <v>41.392000000000003</v>
      </c>
      <c r="AQ212">
        <v>12.8</v>
      </c>
      <c r="AR212">
        <v>1.88</v>
      </c>
      <c r="AS212">
        <v>37.338000000000001</v>
      </c>
      <c r="AT212">
        <v>38.4</v>
      </c>
      <c r="AY212">
        <v>2.36</v>
      </c>
      <c r="AZ212" t="s">
        <v>839</v>
      </c>
      <c r="BB212" t="s">
        <v>839</v>
      </c>
      <c r="BD212" t="s">
        <v>68</v>
      </c>
      <c r="BE212" t="s">
        <v>956</v>
      </c>
      <c r="BF212" t="s">
        <v>957</v>
      </c>
      <c r="BG212" t="s">
        <v>958</v>
      </c>
      <c r="BH212">
        <v>0</v>
      </c>
      <c r="BI212">
        <v>0</v>
      </c>
      <c r="BJ212">
        <v>2</v>
      </c>
      <c r="BK212" t="s">
        <v>959</v>
      </c>
      <c r="BL212">
        <v>8.8620000000000001</v>
      </c>
      <c r="BM212">
        <v>8.8620000000000001</v>
      </c>
      <c r="BN212" s="2">
        <v>43775</v>
      </c>
      <c r="BO212" s="1">
        <v>0.71459490740740739</v>
      </c>
      <c r="BP212" s="3">
        <f t="shared" si="22"/>
        <v>0.99987624403424968</v>
      </c>
      <c r="BQ212" s="3">
        <f t="shared" si="23"/>
        <v>0.9989177215189875</v>
      </c>
    </row>
    <row r="213" spans="1:69" hidden="1" x14ac:dyDescent="0.35">
      <c r="A213">
        <v>211</v>
      </c>
      <c r="B213">
        <v>4336</v>
      </c>
      <c r="D213">
        <v>20</v>
      </c>
      <c r="E213">
        <v>1</v>
      </c>
      <c r="G213">
        <v>16626.599999999999</v>
      </c>
      <c r="I213" t="s">
        <v>62</v>
      </c>
      <c r="L213" t="s">
        <v>855</v>
      </c>
      <c r="M213">
        <v>9.61</v>
      </c>
      <c r="N213">
        <v>40.18</v>
      </c>
      <c r="O213">
        <v>9.17</v>
      </c>
      <c r="P213" s="3">
        <f t="shared" si="18"/>
        <v>0.95421436004162341</v>
      </c>
      <c r="Q213">
        <v>32.799999999999997</v>
      </c>
      <c r="R213" s="3">
        <f t="shared" si="19"/>
        <v>0.81632653061224481</v>
      </c>
      <c r="S213">
        <v>300</v>
      </c>
      <c r="T213">
        <v>9.3879999999999999</v>
      </c>
      <c r="U213">
        <v>39.47</v>
      </c>
      <c r="V213">
        <v>8.9550000000000001</v>
      </c>
      <c r="W213" s="3">
        <f t="shared" si="20"/>
        <v>0.95387729015764811</v>
      </c>
      <c r="X213">
        <v>32.03</v>
      </c>
      <c r="Y213" s="3">
        <f t="shared" si="21"/>
        <v>0.81150240689130992</v>
      </c>
      <c r="Z213">
        <v>286.89999999999998</v>
      </c>
      <c r="AA213">
        <v>77.400000000000006</v>
      </c>
      <c r="AB213">
        <v>25.4</v>
      </c>
      <c r="AC213" t="s">
        <v>64</v>
      </c>
      <c r="AE213" t="s">
        <v>65</v>
      </c>
      <c r="AF213" t="s">
        <v>66</v>
      </c>
      <c r="AG213" s="2">
        <v>44229</v>
      </c>
      <c r="AH213" s="1">
        <v>0.44081018518518517</v>
      </c>
      <c r="AI213" t="s">
        <v>68</v>
      </c>
      <c r="AJ213" t="s">
        <v>69</v>
      </c>
      <c r="AO213">
        <v>7.4980000000000002</v>
      </c>
      <c r="AP213">
        <v>41.165999999999997</v>
      </c>
      <c r="AQ213">
        <v>12.8</v>
      </c>
      <c r="AR213">
        <v>1.88</v>
      </c>
      <c r="AS213">
        <v>37.113</v>
      </c>
      <c r="AT213">
        <v>38.4</v>
      </c>
      <c r="AY213">
        <v>2.36</v>
      </c>
      <c r="AZ213" s="2">
        <v>44288</v>
      </c>
      <c r="BB213" s="2">
        <v>44288</v>
      </c>
      <c r="BD213" t="s">
        <v>68</v>
      </c>
      <c r="BE213" t="s">
        <v>960</v>
      </c>
      <c r="BF213" t="s">
        <v>961</v>
      </c>
      <c r="BG213" t="s">
        <v>962</v>
      </c>
      <c r="BH213">
        <v>0</v>
      </c>
      <c r="BI213">
        <v>1</v>
      </c>
      <c r="BJ213">
        <v>2</v>
      </c>
      <c r="BK213" t="s">
        <v>963</v>
      </c>
      <c r="BL213">
        <v>8.8620000000000001</v>
      </c>
      <c r="BM213">
        <v>8.8620000000000001</v>
      </c>
      <c r="BN213" s="2">
        <v>43775</v>
      </c>
      <c r="BO213" s="1">
        <v>0.71459490740740739</v>
      </c>
      <c r="BP213" s="3">
        <f t="shared" si="22"/>
        <v>0.99964675664285685</v>
      </c>
      <c r="BQ213" s="3">
        <f t="shared" si="23"/>
        <v>0.99409044844185479</v>
      </c>
    </row>
    <row r="214" spans="1:69" hidden="1" x14ac:dyDescent="0.35">
      <c r="A214">
        <v>212</v>
      </c>
      <c r="B214">
        <v>4252</v>
      </c>
      <c r="D214">
        <v>20</v>
      </c>
      <c r="E214">
        <v>1</v>
      </c>
      <c r="G214">
        <v>16626.599999999999</v>
      </c>
      <c r="I214" t="s">
        <v>62</v>
      </c>
      <c r="L214" t="s">
        <v>964</v>
      </c>
      <c r="M214">
        <v>9.61</v>
      </c>
      <c r="N214">
        <v>40.18</v>
      </c>
      <c r="O214">
        <v>9.17</v>
      </c>
      <c r="P214" s="3">
        <f t="shared" si="18"/>
        <v>0.95421436004162341</v>
      </c>
      <c r="Q214">
        <v>32.799999999999997</v>
      </c>
      <c r="R214" s="3">
        <f t="shared" si="19"/>
        <v>0.81632653061224481</v>
      </c>
      <c r="S214">
        <v>300</v>
      </c>
      <c r="T214">
        <v>9.3780000000000001</v>
      </c>
      <c r="U214">
        <v>39.479999999999997</v>
      </c>
      <c r="V214">
        <v>8.9390000000000001</v>
      </c>
      <c r="W214" s="3">
        <f t="shared" si="20"/>
        <v>0.95318831307314988</v>
      </c>
      <c r="X214">
        <v>31.9</v>
      </c>
      <c r="Y214" s="3">
        <f t="shared" si="21"/>
        <v>0.80800405268490383</v>
      </c>
      <c r="Z214">
        <v>285.2</v>
      </c>
      <c r="AA214">
        <v>77</v>
      </c>
      <c r="AB214">
        <v>25.4</v>
      </c>
      <c r="AC214" t="s">
        <v>64</v>
      </c>
      <c r="AE214" t="s">
        <v>65</v>
      </c>
      <c r="AF214" t="s">
        <v>66</v>
      </c>
      <c r="AG214" s="2">
        <v>44288</v>
      </c>
      <c r="AH214" s="1">
        <v>0.42619212962962966</v>
      </c>
      <c r="AI214" t="s">
        <v>68</v>
      </c>
      <c r="AJ214" t="s">
        <v>69</v>
      </c>
      <c r="AO214">
        <v>7.4</v>
      </c>
      <c r="AP214">
        <v>41.4</v>
      </c>
      <c r="AQ214">
        <v>9.6</v>
      </c>
      <c r="AR214">
        <v>1.9</v>
      </c>
      <c r="AS214">
        <v>37.4</v>
      </c>
      <c r="AT214">
        <v>38.4</v>
      </c>
      <c r="AY214">
        <v>2.36</v>
      </c>
      <c r="AZ214" t="s">
        <v>965</v>
      </c>
      <c r="BB214" t="s">
        <v>965</v>
      </c>
      <c r="BD214" t="s">
        <v>68</v>
      </c>
      <c r="BE214" t="s">
        <v>966</v>
      </c>
      <c r="BF214" t="s">
        <v>967</v>
      </c>
      <c r="BG214" t="s">
        <v>968</v>
      </c>
      <c r="BH214">
        <v>0</v>
      </c>
      <c r="BI214">
        <v>1</v>
      </c>
      <c r="BJ214">
        <v>2</v>
      </c>
      <c r="BK214" t="s">
        <v>969</v>
      </c>
      <c r="BL214">
        <v>8.8620000000000001</v>
      </c>
      <c r="BM214">
        <v>8.8620000000000001</v>
      </c>
      <c r="BN214" t="s">
        <v>865</v>
      </c>
      <c r="BO214" s="1">
        <v>0.59545138888888893</v>
      </c>
      <c r="BP214" s="3">
        <f t="shared" si="22"/>
        <v>0.99892472067971316</v>
      </c>
      <c r="BQ214" s="3">
        <f t="shared" si="23"/>
        <v>0.98980496453900735</v>
      </c>
    </row>
    <row r="215" spans="1:69" hidden="1" x14ac:dyDescent="0.35">
      <c r="A215">
        <v>213</v>
      </c>
      <c r="B215">
        <v>4252</v>
      </c>
      <c r="D215">
        <v>20</v>
      </c>
      <c r="E215">
        <v>1</v>
      </c>
      <c r="G215">
        <v>16626.599999999999</v>
      </c>
      <c r="I215" t="s">
        <v>62</v>
      </c>
      <c r="L215" t="s">
        <v>970</v>
      </c>
      <c r="M215">
        <v>9.61</v>
      </c>
      <c r="N215">
        <v>40.18</v>
      </c>
      <c r="O215">
        <v>9.17</v>
      </c>
      <c r="P215" s="3">
        <f t="shared" si="18"/>
        <v>0.95421436004162341</v>
      </c>
      <c r="Q215">
        <v>32.799999999999997</v>
      </c>
      <c r="R215" s="3">
        <f t="shared" si="19"/>
        <v>0.81632653061224481</v>
      </c>
      <c r="S215">
        <v>300</v>
      </c>
      <c r="T215">
        <v>9.3699999999999992</v>
      </c>
      <c r="U215">
        <v>39.54</v>
      </c>
      <c r="V215">
        <v>8.9440000000000008</v>
      </c>
      <c r="W215" s="3">
        <f t="shared" si="20"/>
        <v>0.95453575240128086</v>
      </c>
      <c r="X215">
        <v>32.19</v>
      </c>
      <c r="Y215" s="3">
        <f t="shared" si="21"/>
        <v>0.81411229135053109</v>
      </c>
      <c r="Z215">
        <v>287.89999999999998</v>
      </c>
      <c r="AA215">
        <v>77.7</v>
      </c>
      <c r="AB215">
        <v>25.1</v>
      </c>
      <c r="AC215" t="s">
        <v>64</v>
      </c>
      <c r="AE215" t="s">
        <v>65</v>
      </c>
      <c r="AF215" t="s">
        <v>66</v>
      </c>
      <c r="AG215" t="s">
        <v>427</v>
      </c>
      <c r="AH215" s="1">
        <v>0.44538194444444446</v>
      </c>
      <c r="AI215" t="s">
        <v>68</v>
      </c>
      <c r="AJ215" t="s">
        <v>69</v>
      </c>
      <c r="AO215">
        <v>7.5030000000000001</v>
      </c>
      <c r="AP215">
        <v>41.579000000000001</v>
      </c>
      <c r="AQ215">
        <v>9.6</v>
      </c>
      <c r="AR215">
        <v>1.88</v>
      </c>
      <c r="AS215">
        <v>37.488</v>
      </c>
      <c r="AT215">
        <v>38.4</v>
      </c>
      <c r="AY215">
        <v>2.36</v>
      </c>
      <c r="AZ215" t="s">
        <v>428</v>
      </c>
      <c r="BB215" t="s">
        <v>428</v>
      </c>
      <c r="BD215" t="s">
        <v>68</v>
      </c>
      <c r="BE215" t="s">
        <v>971</v>
      </c>
      <c r="BF215" t="s">
        <v>972</v>
      </c>
      <c r="BG215" t="s">
        <v>973</v>
      </c>
      <c r="BH215">
        <v>0</v>
      </c>
      <c r="BI215">
        <v>0</v>
      </c>
      <c r="BJ215">
        <v>2</v>
      </c>
      <c r="BK215" t="s">
        <v>974</v>
      </c>
      <c r="BL215">
        <v>8.8620000000000001</v>
      </c>
      <c r="BM215">
        <v>8.8620000000000001</v>
      </c>
      <c r="BN215" t="s">
        <v>865</v>
      </c>
      <c r="BO215" s="1">
        <v>0.59545138888888893</v>
      </c>
      <c r="BP215" s="3">
        <f t="shared" si="22"/>
        <v>1.0003368135852027</v>
      </c>
      <c r="BQ215" s="3">
        <f t="shared" si="23"/>
        <v>0.99728755690440074</v>
      </c>
    </row>
    <row r="216" spans="1:69" hidden="1" x14ac:dyDescent="0.35">
      <c r="A216">
        <v>214</v>
      </c>
      <c r="B216">
        <v>4268</v>
      </c>
      <c r="D216">
        <v>20</v>
      </c>
      <c r="E216">
        <v>1</v>
      </c>
      <c r="G216">
        <v>16626.599999999999</v>
      </c>
      <c r="I216" t="s">
        <v>62</v>
      </c>
      <c r="L216" t="s">
        <v>964</v>
      </c>
      <c r="M216">
        <v>9.61</v>
      </c>
      <c r="N216">
        <v>40.18</v>
      </c>
      <c r="O216">
        <v>9.17</v>
      </c>
      <c r="P216" s="3">
        <f t="shared" si="18"/>
        <v>0.95421436004162341</v>
      </c>
      <c r="Q216">
        <v>32.799999999999997</v>
      </c>
      <c r="R216" s="3">
        <f t="shared" si="19"/>
        <v>0.81632653061224481</v>
      </c>
      <c r="S216">
        <v>300</v>
      </c>
      <c r="T216">
        <v>9.3680000000000003</v>
      </c>
      <c r="U216">
        <v>39.47</v>
      </c>
      <c r="V216">
        <v>8.9450000000000003</v>
      </c>
      <c r="W216" s="3">
        <f t="shared" si="20"/>
        <v>0.95484628522630233</v>
      </c>
      <c r="X216">
        <v>31.99</v>
      </c>
      <c r="Y216" s="3">
        <f t="shared" si="21"/>
        <v>0.81048897897137062</v>
      </c>
      <c r="Z216">
        <v>286.10000000000002</v>
      </c>
      <c r="AA216">
        <v>77.400000000000006</v>
      </c>
      <c r="AB216">
        <v>25.4</v>
      </c>
      <c r="AC216" t="s">
        <v>64</v>
      </c>
      <c r="AE216" t="s">
        <v>65</v>
      </c>
      <c r="AF216" t="s">
        <v>66</v>
      </c>
      <c r="AG216" s="2">
        <v>44288</v>
      </c>
      <c r="AH216" s="1">
        <v>0.42423611111111109</v>
      </c>
      <c r="AI216" t="s">
        <v>68</v>
      </c>
      <c r="AJ216" t="s">
        <v>69</v>
      </c>
      <c r="AO216">
        <v>7.4</v>
      </c>
      <c r="AP216">
        <v>41.5</v>
      </c>
      <c r="AQ216">
        <v>9.6</v>
      </c>
      <c r="AR216">
        <v>1.9</v>
      </c>
      <c r="AS216">
        <v>37.299999999999997</v>
      </c>
      <c r="AT216">
        <v>38.4</v>
      </c>
      <c r="AY216">
        <v>2.36</v>
      </c>
      <c r="AZ216" t="s">
        <v>965</v>
      </c>
      <c r="BB216" t="s">
        <v>965</v>
      </c>
      <c r="BD216" t="s">
        <v>68</v>
      </c>
      <c r="BE216" t="s">
        <v>975</v>
      </c>
      <c r="BF216" t="s">
        <v>976</v>
      </c>
      <c r="BG216" t="s">
        <v>977</v>
      </c>
      <c r="BH216">
        <v>0</v>
      </c>
      <c r="BI216">
        <v>1</v>
      </c>
      <c r="BJ216">
        <v>2</v>
      </c>
      <c r="BK216" t="s">
        <v>978</v>
      </c>
      <c r="BL216">
        <v>8.8620000000000001</v>
      </c>
      <c r="BM216">
        <v>8.8620000000000001</v>
      </c>
      <c r="BN216" t="s">
        <v>865</v>
      </c>
      <c r="BO216" s="1">
        <v>0.52650462962962963</v>
      </c>
      <c r="BP216" s="3">
        <f t="shared" si="22"/>
        <v>1.0006622465675861</v>
      </c>
      <c r="BQ216" s="3">
        <f t="shared" si="23"/>
        <v>0.99284899923992909</v>
      </c>
    </row>
    <row r="217" spans="1:69" hidden="1" x14ac:dyDescent="0.35">
      <c r="A217">
        <v>215</v>
      </c>
      <c r="B217">
        <v>4268</v>
      </c>
      <c r="D217">
        <v>20</v>
      </c>
      <c r="E217">
        <v>1</v>
      </c>
      <c r="G217">
        <v>16626.599999999999</v>
      </c>
      <c r="I217" t="s">
        <v>62</v>
      </c>
      <c r="L217" t="s">
        <v>970</v>
      </c>
      <c r="M217">
        <v>9.61</v>
      </c>
      <c r="N217">
        <v>40.18</v>
      </c>
      <c r="O217">
        <v>9.17</v>
      </c>
      <c r="P217" s="3">
        <f t="shared" si="18"/>
        <v>0.95421436004162341</v>
      </c>
      <c r="Q217">
        <v>32.799999999999997</v>
      </c>
      <c r="R217" s="3">
        <f t="shared" si="19"/>
        <v>0.81632653061224481</v>
      </c>
      <c r="S217">
        <v>300</v>
      </c>
      <c r="T217">
        <v>9.3780000000000001</v>
      </c>
      <c r="U217">
        <v>39.56</v>
      </c>
      <c r="V217">
        <v>8.9600000000000009</v>
      </c>
      <c r="W217" s="3">
        <f t="shared" si="20"/>
        <v>0.95542759650245268</v>
      </c>
      <c r="X217">
        <v>32.26</v>
      </c>
      <c r="Y217" s="3">
        <f t="shared" si="21"/>
        <v>0.81547017189079873</v>
      </c>
      <c r="Z217">
        <v>289</v>
      </c>
      <c r="AA217">
        <v>77.900000000000006</v>
      </c>
      <c r="AB217">
        <v>24.9</v>
      </c>
      <c r="AC217" t="s">
        <v>64</v>
      </c>
      <c r="AE217" t="s">
        <v>65</v>
      </c>
      <c r="AF217" t="s">
        <v>66</v>
      </c>
      <c r="AG217" t="s">
        <v>427</v>
      </c>
      <c r="AH217" s="1">
        <v>0.44961805555555556</v>
      </c>
      <c r="AI217" t="s">
        <v>68</v>
      </c>
      <c r="AJ217" t="s">
        <v>69</v>
      </c>
      <c r="AO217">
        <v>7.508</v>
      </c>
      <c r="AP217">
        <v>41.542000000000002</v>
      </c>
      <c r="AQ217">
        <v>9.6</v>
      </c>
      <c r="AR217">
        <v>1.88</v>
      </c>
      <c r="AS217">
        <v>37.488</v>
      </c>
      <c r="AT217">
        <v>38.4</v>
      </c>
      <c r="AY217">
        <v>2.36</v>
      </c>
      <c r="AZ217" t="s">
        <v>428</v>
      </c>
      <c r="BB217" t="s">
        <v>428</v>
      </c>
      <c r="BD217" t="s">
        <v>68</v>
      </c>
      <c r="BE217" t="s">
        <v>979</v>
      </c>
      <c r="BF217" t="s">
        <v>980</v>
      </c>
      <c r="BG217" t="s">
        <v>981</v>
      </c>
      <c r="BH217">
        <v>0</v>
      </c>
      <c r="BI217">
        <v>0</v>
      </c>
      <c r="BJ217">
        <v>2</v>
      </c>
      <c r="BK217" t="s">
        <v>982</v>
      </c>
      <c r="BL217">
        <v>8.8620000000000001</v>
      </c>
      <c r="BM217">
        <v>8.8620000000000001</v>
      </c>
      <c r="BN217" t="s">
        <v>865</v>
      </c>
      <c r="BO217" s="1">
        <v>0.52650462962962963</v>
      </c>
      <c r="BP217" s="3">
        <f t="shared" si="22"/>
        <v>1.0012714506421558</v>
      </c>
      <c r="BQ217" s="3">
        <f t="shared" si="23"/>
        <v>0.99895096056622856</v>
      </c>
    </row>
    <row r="218" spans="1:69" hidden="1" x14ac:dyDescent="0.35">
      <c r="A218">
        <v>216</v>
      </c>
      <c r="B218">
        <v>4250</v>
      </c>
      <c r="D218">
        <v>20</v>
      </c>
      <c r="E218">
        <v>1</v>
      </c>
      <c r="G218">
        <v>16626.599999999999</v>
      </c>
      <c r="I218" t="s">
        <v>62</v>
      </c>
      <c r="L218" t="s">
        <v>964</v>
      </c>
      <c r="M218">
        <v>9.61</v>
      </c>
      <c r="N218">
        <v>40.18</v>
      </c>
      <c r="O218">
        <v>9.17</v>
      </c>
      <c r="P218" s="3">
        <f t="shared" si="18"/>
        <v>0.95421436004162341</v>
      </c>
      <c r="Q218">
        <v>32.799999999999997</v>
      </c>
      <c r="R218" s="3">
        <f t="shared" si="19"/>
        <v>0.81632653061224481</v>
      </c>
      <c r="S218">
        <v>300</v>
      </c>
      <c r="T218">
        <v>9.3740000000000006</v>
      </c>
      <c r="U218">
        <v>39.520000000000003</v>
      </c>
      <c r="V218">
        <v>8.952</v>
      </c>
      <c r="W218" s="3">
        <f t="shared" si="20"/>
        <v>0.95498186473223801</v>
      </c>
      <c r="X218">
        <v>32.07</v>
      </c>
      <c r="Y218" s="3">
        <f t="shared" si="21"/>
        <v>0.81148785425101211</v>
      </c>
      <c r="Z218">
        <v>287.10000000000002</v>
      </c>
      <c r="AA218">
        <v>77.5</v>
      </c>
      <c r="AB218">
        <v>25.4</v>
      </c>
      <c r="AC218" t="s">
        <v>64</v>
      </c>
      <c r="AE218" t="s">
        <v>65</v>
      </c>
      <c r="AF218" t="s">
        <v>66</v>
      </c>
      <c r="AG218" s="2">
        <v>44288</v>
      </c>
      <c r="AH218" s="1">
        <v>0.42297453703703702</v>
      </c>
      <c r="AI218" t="s">
        <v>68</v>
      </c>
      <c r="AJ218" t="s">
        <v>69</v>
      </c>
      <c r="AO218">
        <v>7.4</v>
      </c>
      <c r="AP218">
        <v>41.3</v>
      </c>
      <c r="AQ218">
        <v>9.6</v>
      </c>
      <c r="AR218">
        <v>1.9</v>
      </c>
      <c r="AS218">
        <v>37.700000000000003</v>
      </c>
      <c r="AT218">
        <v>38.4</v>
      </c>
      <c r="AY218">
        <v>2.36</v>
      </c>
      <c r="AZ218" t="s">
        <v>965</v>
      </c>
      <c r="BB218" t="s">
        <v>965</v>
      </c>
      <c r="BD218" t="s">
        <v>68</v>
      </c>
      <c r="BE218" t="s">
        <v>983</v>
      </c>
      <c r="BF218" t="s">
        <v>984</v>
      </c>
      <c r="BG218" t="s">
        <v>985</v>
      </c>
      <c r="BH218">
        <v>0</v>
      </c>
      <c r="BI218">
        <v>1</v>
      </c>
      <c r="BJ218">
        <v>2</v>
      </c>
      <c r="BK218" t="s">
        <v>986</v>
      </c>
      <c r="BL218">
        <v>8.8620000000000001</v>
      </c>
      <c r="BM218">
        <v>8.8620000000000001</v>
      </c>
      <c r="BN218" t="s">
        <v>865</v>
      </c>
      <c r="BO218" s="1">
        <v>0.54353009259259255</v>
      </c>
      <c r="BP218" s="3">
        <f t="shared" si="22"/>
        <v>1.0008043315241884</v>
      </c>
      <c r="BQ218" s="3">
        <f t="shared" si="23"/>
        <v>0.99407262145748998</v>
      </c>
    </row>
    <row r="219" spans="1:69" hidden="1" x14ac:dyDescent="0.35">
      <c r="A219">
        <v>217</v>
      </c>
      <c r="B219">
        <v>4250</v>
      </c>
      <c r="D219">
        <v>20</v>
      </c>
      <c r="E219">
        <v>1</v>
      </c>
      <c r="G219">
        <v>16626.599999999999</v>
      </c>
      <c r="I219" t="s">
        <v>62</v>
      </c>
      <c r="L219" t="s">
        <v>970</v>
      </c>
      <c r="M219">
        <v>9.61</v>
      </c>
      <c r="N219">
        <v>40.18</v>
      </c>
      <c r="O219">
        <v>9.17</v>
      </c>
      <c r="P219" s="3">
        <f t="shared" si="18"/>
        <v>0.95421436004162341</v>
      </c>
      <c r="Q219">
        <v>32.799999999999997</v>
      </c>
      <c r="R219" s="3">
        <f t="shared" si="19"/>
        <v>0.81632653061224481</v>
      </c>
      <c r="S219">
        <v>300</v>
      </c>
      <c r="T219">
        <v>9.3780000000000001</v>
      </c>
      <c r="U219">
        <v>39.61</v>
      </c>
      <c r="V219">
        <v>8.9740000000000002</v>
      </c>
      <c r="W219" s="3">
        <f t="shared" si="20"/>
        <v>0.95692045212198762</v>
      </c>
      <c r="X219">
        <v>32.31</v>
      </c>
      <c r="Y219" s="3">
        <f t="shared" si="21"/>
        <v>0.81570310527644541</v>
      </c>
      <c r="Z219">
        <v>289.89999999999998</v>
      </c>
      <c r="AA219">
        <v>78.099999999999994</v>
      </c>
      <c r="AB219">
        <v>25.1</v>
      </c>
      <c r="AC219" t="s">
        <v>64</v>
      </c>
      <c r="AE219" t="s">
        <v>65</v>
      </c>
      <c r="AF219" t="s">
        <v>66</v>
      </c>
      <c r="AG219" t="s">
        <v>427</v>
      </c>
      <c r="AH219" s="1">
        <v>0.44255787037037037</v>
      </c>
      <c r="AI219" t="s">
        <v>68</v>
      </c>
      <c r="AJ219" t="s">
        <v>69</v>
      </c>
      <c r="AO219">
        <v>7.508</v>
      </c>
      <c r="AP219">
        <v>41.728999999999999</v>
      </c>
      <c r="AQ219">
        <v>9.6</v>
      </c>
      <c r="AR219">
        <v>1.88</v>
      </c>
      <c r="AS219">
        <v>37676</v>
      </c>
      <c r="AT219">
        <v>38.4</v>
      </c>
      <c r="AY219">
        <v>2.36</v>
      </c>
      <c r="AZ219" t="s">
        <v>428</v>
      </c>
      <c r="BB219" t="s">
        <v>428</v>
      </c>
      <c r="BD219" t="s">
        <v>68</v>
      </c>
      <c r="BE219" t="s">
        <v>987</v>
      </c>
      <c r="BF219" t="s">
        <v>988</v>
      </c>
      <c r="BG219" t="s">
        <v>989</v>
      </c>
      <c r="BH219">
        <v>0</v>
      </c>
      <c r="BI219">
        <v>0</v>
      </c>
      <c r="BJ219">
        <v>2</v>
      </c>
      <c r="BK219" t="s">
        <v>990</v>
      </c>
      <c r="BL219">
        <v>8.8620000000000001</v>
      </c>
      <c r="BM219">
        <v>8.8620000000000001</v>
      </c>
      <c r="BN219" t="s">
        <v>865</v>
      </c>
      <c r="BO219" s="1">
        <v>0.54353009259259255</v>
      </c>
      <c r="BP219" s="3">
        <f t="shared" si="22"/>
        <v>1.0028359372837841</v>
      </c>
      <c r="BQ219" s="3">
        <f t="shared" si="23"/>
        <v>0.99923630396364571</v>
      </c>
    </row>
    <row r="220" spans="1:69" hidden="1" x14ac:dyDescent="0.35">
      <c r="A220">
        <v>218</v>
      </c>
      <c r="B220">
        <v>4253</v>
      </c>
      <c r="D220">
        <v>20</v>
      </c>
      <c r="E220">
        <v>1</v>
      </c>
      <c r="G220">
        <v>16626.599999999999</v>
      </c>
      <c r="I220" t="s">
        <v>62</v>
      </c>
      <c r="L220" t="s">
        <v>964</v>
      </c>
      <c r="M220">
        <v>9.61</v>
      </c>
      <c r="N220">
        <v>40.18</v>
      </c>
      <c r="O220">
        <v>9.17</v>
      </c>
      <c r="P220" s="3">
        <f t="shared" si="18"/>
        <v>0.95421436004162341</v>
      </c>
      <c r="Q220">
        <v>32.799999999999997</v>
      </c>
      <c r="R220" s="3">
        <f t="shared" si="19"/>
        <v>0.81632653061224481</v>
      </c>
      <c r="S220">
        <v>300</v>
      </c>
      <c r="T220">
        <v>9.3889999999999993</v>
      </c>
      <c r="U220">
        <v>39.49</v>
      </c>
      <c r="V220">
        <v>8.9659999999999993</v>
      </c>
      <c r="W220" s="3">
        <f t="shared" si="20"/>
        <v>0.95494727873042917</v>
      </c>
      <c r="X220">
        <v>31.92</v>
      </c>
      <c r="Y220" s="3">
        <f t="shared" si="21"/>
        <v>0.80830590022790583</v>
      </c>
      <c r="Z220">
        <v>286.2</v>
      </c>
      <c r="AA220">
        <v>77.2</v>
      </c>
      <c r="AB220">
        <v>25.1</v>
      </c>
      <c r="AC220" t="s">
        <v>64</v>
      </c>
      <c r="AE220" t="s">
        <v>65</v>
      </c>
      <c r="AF220" t="s">
        <v>66</v>
      </c>
      <c r="AG220" s="2">
        <v>44288</v>
      </c>
      <c r="AH220" s="1">
        <v>0.43158564814814815</v>
      </c>
      <c r="AI220" t="s">
        <v>68</v>
      </c>
      <c r="AJ220" t="s">
        <v>69</v>
      </c>
      <c r="AR220">
        <v>1.9</v>
      </c>
      <c r="AS220">
        <v>37.4</v>
      </c>
      <c r="AT220">
        <v>38.4</v>
      </c>
      <c r="AY220">
        <v>2.36</v>
      </c>
      <c r="AZ220" t="s">
        <v>965</v>
      </c>
      <c r="BB220" t="s">
        <v>965</v>
      </c>
      <c r="BD220" t="s">
        <v>68</v>
      </c>
      <c r="BF220" t="s">
        <v>991</v>
      </c>
      <c r="BG220" t="s">
        <v>992</v>
      </c>
      <c r="BH220">
        <v>0</v>
      </c>
      <c r="BI220">
        <v>1</v>
      </c>
      <c r="BJ220">
        <v>2</v>
      </c>
      <c r="BK220" t="s">
        <v>993</v>
      </c>
      <c r="BL220">
        <v>8.8620000000000001</v>
      </c>
      <c r="BM220">
        <v>8.8620000000000001</v>
      </c>
      <c r="BN220" t="s">
        <v>865</v>
      </c>
      <c r="BO220" s="1">
        <v>0.5978472222222222</v>
      </c>
      <c r="BP220" s="3">
        <f t="shared" si="22"/>
        <v>1.0007680859977561</v>
      </c>
      <c r="BQ220" s="3">
        <f t="shared" si="23"/>
        <v>0.9901747277791848</v>
      </c>
    </row>
    <row r="221" spans="1:69" hidden="1" x14ac:dyDescent="0.35">
      <c r="A221">
        <v>219</v>
      </c>
      <c r="B221">
        <v>4253</v>
      </c>
      <c r="D221">
        <v>20</v>
      </c>
      <c r="E221">
        <v>1</v>
      </c>
      <c r="G221">
        <v>16626.599999999999</v>
      </c>
      <c r="I221" t="s">
        <v>62</v>
      </c>
      <c r="L221" t="s">
        <v>970</v>
      </c>
      <c r="M221">
        <v>9.61</v>
      </c>
      <c r="N221">
        <v>40.18</v>
      </c>
      <c r="O221">
        <v>9.17</v>
      </c>
      <c r="P221" s="3">
        <f t="shared" si="18"/>
        <v>0.95421436004162341</v>
      </c>
      <c r="Q221">
        <v>32.799999999999997</v>
      </c>
      <c r="R221" s="3">
        <f t="shared" si="19"/>
        <v>0.81632653061224481</v>
      </c>
      <c r="S221">
        <v>300</v>
      </c>
      <c r="T221">
        <v>9.375</v>
      </c>
      <c r="U221">
        <v>39.51</v>
      </c>
      <c r="V221">
        <v>8.9640000000000004</v>
      </c>
      <c r="W221" s="3">
        <f t="shared" si="20"/>
        <v>0.95616000000000001</v>
      </c>
      <c r="X221">
        <v>32.17</v>
      </c>
      <c r="Y221" s="3">
        <f t="shared" si="21"/>
        <v>0.81422424702606944</v>
      </c>
      <c r="Z221">
        <v>288.39999999999998</v>
      </c>
      <c r="AA221">
        <v>77.900000000000006</v>
      </c>
      <c r="AB221">
        <v>25</v>
      </c>
      <c r="AC221" t="s">
        <v>64</v>
      </c>
      <c r="AE221" t="s">
        <v>65</v>
      </c>
      <c r="AF221" t="s">
        <v>66</v>
      </c>
      <c r="AG221" t="s">
        <v>427</v>
      </c>
      <c r="AH221" s="1">
        <v>0.44762731481481483</v>
      </c>
      <c r="AI221" t="s">
        <v>68</v>
      </c>
      <c r="AJ221" t="s">
        <v>69</v>
      </c>
      <c r="AO221">
        <v>7.5129999999999999</v>
      </c>
      <c r="AP221">
        <v>41.579000000000001</v>
      </c>
      <c r="AQ221">
        <v>9.6</v>
      </c>
      <c r="AR221">
        <v>1.88</v>
      </c>
      <c r="AS221">
        <v>37.526000000000003</v>
      </c>
      <c r="AT221">
        <v>38.4</v>
      </c>
      <c r="AY221">
        <v>2.36</v>
      </c>
      <c r="AZ221" t="s">
        <v>428</v>
      </c>
      <c r="BB221" t="s">
        <v>428</v>
      </c>
      <c r="BD221" t="s">
        <v>68</v>
      </c>
      <c r="BE221" t="s">
        <v>994</v>
      </c>
      <c r="BF221" t="s">
        <v>995</v>
      </c>
      <c r="BG221" t="s">
        <v>996</v>
      </c>
      <c r="BH221">
        <v>0</v>
      </c>
      <c r="BI221">
        <v>0</v>
      </c>
      <c r="BJ221">
        <v>2</v>
      </c>
      <c r="BK221" t="s">
        <v>997</v>
      </c>
      <c r="BL221">
        <v>8.8620000000000001</v>
      </c>
      <c r="BM221">
        <v>8.8620000000000001</v>
      </c>
      <c r="BN221" t="s">
        <v>865</v>
      </c>
      <c r="BO221" s="1">
        <v>0.5978472222222222</v>
      </c>
      <c r="BP221" s="3">
        <f t="shared" si="22"/>
        <v>1.0020389967284622</v>
      </c>
      <c r="BQ221" s="3">
        <f t="shared" si="23"/>
        <v>0.99742470260693517</v>
      </c>
    </row>
    <row r="222" spans="1:69" hidden="1" x14ac:dyDescent="0.35">
      <c r="A222">
        <v>220</v>
      </c>
      <c r="B222">
        <v>4276</v>
      </c>
      <c r="D222">
        <v>20</v>
      </c>
      <c r="E222">
        <v>1</v>
      </c>
      <c r="G222">
        <v>16626.599999999999</v>
      </c>
      <c r="I222" t="s">
        <v>62</v>
      </c>
      <c r="L222" t="s">
        <v>964</v>
      </c>
      <c r="M222">
        <v>9.61</v>
      </c>
      <c r="N222">
        <v>40.18</v>
      </c>
      <c r="O222">
        <v>9.17</v>
      </c>
      <c r="P222" s="3">
        <f t="shared" si="18"/>
        <v>0.95421436004162341</v>
      </c>
      <c r="Q222">
        <v>32.799999999999997</v>
      </c>
      <c r="R222" s="3">
        <f t="shared" si="19"/>
        <v>0.81632653061224481</v>
      </c>
      <c r="S222">
        <v>300</v>
      </c>
      <c r="T222">
        <v>9.3689999999999998</v>
      </c>
      <c r="U222">
        <v>39.58</v>
      </c>
      <c r="V222">
        <v>8.9649999999999999</v>
      </c>
      <c r="W222" s="3">
        <f t="shared" si="20"/>
        <v>0.95687906927100008</v>
      </c>
      <c r="X222">
        <v>32.049999999999997</v>
      </c>
      <c r="Y222" s="3">
        <f t="shared" si="21"/>
        <v>0.80975240020212225</v>
      </c>
      <c r="Z222">
        <v>287.39999999999998</v>
      </c>
      <c r="AA222">
        <v>77.5</v>
      </c>
      <c r="AB222">
        <v>25.4</v>
      </c>
      <c r="AC222" t="s">
        <v>64</v>
      </c>
      <c r="AE222" t="s">
        <v>65</v>
      </c>
      <c r="AF222" t="s">
        <v>66</v>
      </c>
      <c r="AG222" s="2">
        <v>44288</v>
      </c>
      <c r="AH222" s="1">
        <v>0.42553240740740739</v>
      </c>
      <c r="AI222" t="s">
        <v>68</v>
      </c>
      <c r="AJ222" t="s">
        <v>69</v>
      </c>
      <c r="AO222">
        <v>7.4</v>
      </c>
      <c r="AP222">
        <v>41.3</v>
      </c>
      <c r="AQ222">
        <v>9.6</v>
      </c>
      <c r="AR222">
        <v>1.9</v>
      </c>
      <c r="AS222">
        <v>37.5</v>
      </c>
      <c r="AT222">
        <v>38.4</v>
      </c>
      <c r="AY222">
        <v>2.36</v>
      </c>
      <c r="AZ222" t="s">
        <v>965</v>
      </c>
      <c r="BB222" t="s">
        <v>965</v>
      </c>
      <c r="BD222" t="s">
        <v>68</v>
      </c>
      <c r="BE222" t="s">
        <v>998</v>
      </c>
      <c r="BF222" t="s">
        <v>999</v>
      </c>
      <c r="BG222" t="s">
        <v>1000</v>
      </c>
      <c r="BH222">
        <v>0</v>
      </c>
      <c r="BI222">
        <v>1</v>
      </c>
      <c r="BJ222">
        <v>2</v>
      </c>
      <c r="BK222" t="s">
        <v>1001</v>
      </c>
      <c r="BL222">
        <v>8.8620000000000001</v>
      </c>
      <c r="BM222">
        <v>8.8620000000000001</v>
      </c>
      <c r="BN222" t="s">
        <v>865</v>
      </c>
      <c r="BO222" s="1">
        <v>0.53111111111111109</v>
      </c>
      <c r="BP222" s="3">
        <f t="shared" si="22"/>
        <v>1.0027925687780055</v>
      </c>
      <c r="BQ222" s="3">
        <f t="shared" si="23"/>
        <v>0.99194669024759985</v>
      </c>
    </row>
    <row r="223" spans="1:69" hidden="1" x14ac:dyDescent="0.35">
      <c r="A223">
        <v>221</v>
      </c>
      <c r="B223">
        <v>4276</v>
      </c>
      <c r="D223">
        <v>20</v>
      </c>
      <c r="E223">
        <v>1</v>
      </c>
      <c r="G223">
        <v>16626.599999999999</v>
      </c>
      <c r="I223" t="s">
        <v>62</v>
      </c>
      <c r="L223" t="s">
        <v>970</v>
      </c>
      <c r="M223">
        <v>9.61</v>
      </c>
      <c r="N223">
        <v>40.18</v>
      </c>
      <c r="O223">
        <v>9.17</v>
      </c>
      <c r="P223" s="3">
        <f t="shared" si="18"/>
        <v>0.95421436004162341</v>
      </c>
      <c r="Q223">
        <v>32.799999999999997</v>
      </c>
      <c r="R223" s="3">
        <f t="shared" si="19"/>
        <v>0.81632653061224481</v>
      </c>
      <c r="S223">
        <v>300</v>
      </c>
      <c r="T223">
        <v>9.3620000000000001</v>
      </c>
      <c r="U223">
        <v>39.619999999999997</v>
      </c>
      <c r="V223">
        <v>8.9689999999999994</v>
      </c>
      <c r="W223" s="3">
        <f t="shared" si="20"/>
        <v>0.95802179021576583</v>
      </c>
      <c r="X223">
        <v>32.31</v>
      </c>
      <c r="Y223" s="3">
        <f t="shared" si="21"/>
        <v>0.81549722362443222</v>
      </c>
      <c r="Z223">
        <v>289.8</v>
      </c>
      <c r="AA223">
        <v>78.099999999999994</v>
      </c>
      <c r="AB223">
        <v>24.9</v>
      </c>
      <c r="AC223" t="s">
        <v>64</v>
      </c>
      <c r="AE223" t="s">
        <v>65</v>
      </c>
      <c r="AF223" t="s">
        <v>66</v>
      </c>
      <c r="AG223" t="s">
        <v>427</v>
      </c>
      <c r="AH223" s="1">
        <v>0.44863425925925926</v>
      </c>
      <c r="AI223" t="s">
        <v>68</v>
      </c>
      <c r="AJ223" t="s">
        <v>69</v>
      </c>
      <c r="AO223">
        <v>7.5030000000000001</v>
      </c>
      <c r="AP223">
        <v>41.616999999999997</v>
      </c>
      <c r="AQ223">
        <v>9.6</v>
      </c>
      <c r="AR223">
        <v>1.88</v>
      </c>
      <c r="AS223">
        <v>37.600999999999999</v>
      </c>
      <c r="AT223">
        <v>38.4</v>
      </c>
      <c r="AY223">
        <v>2.36</v>
      </c>
      <c r="AZ223" t="s">
        <v>428</v>
      </c>
      <c r="BB223" t="s">
        <v>428</v>
      </c>
      <c r="BD223" t="s">
        <v>68</v>
      </c>
      <c r="BE223" t="s">
        <v>1002</v>
      </c>
      <c r="BF223" t="s">
        <v>1003</v>
      </c>
      <c r="BG223" t="s">
        <v>1004</v>
      </c>
      <c r="BH223">
        <v>0</v>
      </c>
      <c r="BI223">
        <v>0</v>
      </c>
      <c r="BJ223">
        <v>2</v>
      </c>
      <c r="BK223" t="s">
        <v>1005</v>
      </c>
      <c r="BL223">
        <v>8.8620000000000001</v>
      </c>
      <c r="BM223">
        <v>8.8620000000000001</v>
      </c>
      <c r="BN223" t="s">
        <v>865</v>
      </c>
      <c r="BO223" s="1">
        <v>0.53111111111111109</v>
      </c>
      <c r="BP223" s="3">
        <f t="shared" si="22"/>
        <v>1.0039901203896957</v>
      </c>
      <c r="BQ223" s="3">
        <f t="shared" si="23"/>
        <v>0.99898409893992957</v>
      </c>
    </row>
    <row r="224" spans="1:69" hidden="1" x14ac:dyDescent="0.35">
      <c r="A224">
        <v>222</v>
      </c>
      <c r="B224">
        <v>4251</v>
      </c>
      <c r="D224">
        <v>20</v>
      </c>
      <c r="E224">
        <v>1</v>
      </c>
      <c r="G224">
        <v>16626.599999999999</v>
      </c>
      <c r="I224" t="s">
        <v>62</v>
      </c>
      <c r="L224" t="s">
        <v>964</v>
      </c>
      <c r="M224">
        <v>9.61</v>
      </c>
      <c r="N224">
        <v>40.18</v>
      </c>
      <c r="O224">
        <v>9.17</v>
      </c>
      <c r="P224" s="3">
        <f t="shared" si="18"/>
        <v>0.95421436004162341</v>
      </c>
      <c r="Q224">
        <v>32.799999999999997</v>
      </c>
      <c r="R224" s="3">
        <f t="shared" si="19"/>
        <v>0.81632653061224481</v>
      </c>
      <c r="S224">
        <v>300</v>
      </c>
      <c r="T224">
        <v>9.36</v>
      </c>
      <c r="U224">
        <v>39.51</v>
      </c>
      <c r="V224">
        <v>8.9440000000000008</v>
      </c>
      <c r="W224" s="3">
        <f t="shared" si="20"/>
        <v>0.95555555555555571</v>
      </c>
      <c r="X224">
        <v>31.93</v>
      </c>
      <c r="Y224" s="3">
        <f t="shared" si="21"/>
        <v>0.80814983548468744</v>
      </c>
      <c r="Z224">
        <v>285.60000000000002</v>
      </c>
      <c r="AA224">
        <v>77.2</v>
      </c>
      <c r="AB224">
        <v>25.1</v>
      </c>
      <c r="AC224" t="s">
        <v>64</v>
      </c>
      <c r="AE224" t="s">
        <v>65</v>
      </c>
      <c r="AF224" t="s">
        <v>66</v>
      </c>
      <c r="AG224" s="2">
        <v>44288</v>
      </c>
      <c r="AH224" s="1">
        <v>0.42162037037037037</v>
      </c>
      <c r="AI224" t="s">
        <v>68</v>
      </c>
      <c r="AJ224" t="s">
        <v>69</v>
      </c>
      <c r="AO224">
        <v>7.4</v>
      </c>
      <c r="AP224">
        <v>41.2</v>
      </c>
      <c r="AQ224">
        <v>9.6</v>
      </c>
      <c r="AR224">
        <v>1.9</v>
      </c>
      <c r="AS224">
        <v>37.4</v>
      </c>
      <c r="AT224">
        <v>38.4</v>
      </c>
      <c r="AY224">
        <v>2.36</v>
      </c>
      <c r="AZ224" t="s">
        <v>965</v>
      </c>
      <c r="BB224" t="s">
        <v>965</v>
      </c>
      <c r="BD224" t="s">
        <v>68</v>
      </c>
      <c r="BE224" t="s">
        <v>1006</v>
      </c>
      <c r="BF224" t="s">
        <v>1007</v>
      </c>
      <c r="BG224" t="s">
        <v>1008</v>
      </c>
      <c r="BH224">
        <v>0</v>
      </c>
      <c r="BI224">
        <v>1</v>
      </c>
      <c r="BJ224">
        <v>2</v>
      </c>
      <c r="BK224" t="s">
        <v>1009</v>
      </c>
      <c r="BL224">
        <v>8.8620000000000001</v>
      </c>
      <c r="BM224">
        <v>8.8620000000000001</v>
      </c>
      <c r="BN224" t="s">
        <v>865</v>
      </c>
      <c r="BO224" s="1">
        <v>0.59341435185185187</v>
      </c>
      <c r="BP224" s="3">
        <f t="shared" si="22"/>
        <v>1.0014055494971525</v>
      </c>
      <c r="BQ224" s="3">
        <f t="shared" si="23"/>
        <v>0.98998354846874226</v>
      </c>
    </row>
    <row r="225" spans="1:69" hidden="1" x14ac:dyDescent="0.35">
      <c r="A225">
        <v>223</v>
      </c>
      <c r="B225">
        <v>4251</v>
      </c>
      <c r="D225">
        <v>20</v>
      </c>
      <c r="E225">
        <v>1</v>
      </c>
      <c r="G225">
        <v>16626.599999999999</v>
      </c>
      <c r="I225" t="s">
        <v>62</v>
      </c>
      <c r="L225" t="s">
        <v>970</v>
      </c>
      <c r="M225">
        <v>9.61</v>
      </c>
      <c r="N225">
        <v>40.18</v>
      </c>
      <c r="O225">
        <v>9.17</v>
      </c>
      <c r="P225" s="3">
        <f t="shared" si="18"/>
        <v>0.95421436004162341</v>
      </c>
      <c r="Q225">
        <v>32.799999999999997</v>
      </c>
      <c r="R225" s="3">
        <f t="shared" si="19"/>
        <v>0.81632653061224481</v>
      </c>
      <c r="S225">
        <v>300</v>
      </c>
      <c r="T225">
        <v>9.3659999999999997</v>
      </c>
      <c r="U225">
        <v>39.58</v>
      </c>
      <c r="V225">
        <v>8.9670000000000005</v>
      </c>
      <c r="W225" s="3">
        <f t="shared" si="20"/>
        <v>0.95739910313901355</v>
      </c>
      <c r="X225">
        <v>32.28</v>
      </c>
      <c r="Y225" s="3">
        <f t="shared" si="21"/>
        <v>0.81556341586659931</v>
      </c>
      <c r="Z225">
        <v>289.39999999999998</v>
      </c>
      <c r="AA225">
        <v>78.099999999999994</v>
      </c>
      <c r="AB225">
        <v>25</v>
      </c>
      <c r="AC225" t="s">
        <v>64</v>
      </c>
      <c r="AE225" t="s">
        <v>65</v>
      </c>
      <c r="AF225" t="s">
        <v>66</v>
      </c>
      <c r="AG225" t="s">
        <v>427</v>
      </c>
      <c r="AH225" s="1">
        <v>0.44447916666666665</v>
      </c>
      <c r="AI225" t="s">
        <v>68</v>
      </c>
      <c r="AJ225" t="s">
        <v>69</v>
      </c>
      <c r="AO225">
        <v>7.5129999999999999</v>
      </c>
      <c r="AP225">
        <v>41.579000000000001</v>
      </c>
      <c r="AQ225">
        <v>9.6</v>
      </c>
      <c r="AR225">
        <v>1.88</v>
      </c>
      <c r="AS225">
        <v>37.526000000000003</v>
      </c>
      <c r="AT225">
        <v>38.4</v>
      </c>
      <c r="AY225">
        <v>2.36</v>
      </c>
      <c r="AZ225" t="s">
        <v>428</v>
      </c>
      <c r="BB225" t="s">
        <v>428</v>
      </c>
      <c r="BD225" t="s">
        <v>68</v>
      </c>
      <c r="BE225" t="s">
        <v>1010</v>
      </c>
      <c r="BF225" t="s">
        <v>1011</v>
      </c>
      <c r="BG225" t="s">
        <v>1012</v>
      </c>
      <c r="BH225">
        <v>0</v>
      </c>
      <c r="BI225">
        <v>0</v>
      </c>
      <c r="BJ225">
        <v>2</v>
      </c>
      <c r="BK225" t="s">
        <v>1013</v>
      </c>
      <c r="BL225">
        <v>8.8620000000000001</v>
      </c>
      <c r="BM225">
        <v>8.8620000000000001</v>
      </c>
      <c r="BN225" t="s">
        <v>865</v>
      </c>
      <c r="BO225" s="1">
        <v>0.59341435185185187</v>
      </c>
      <c r="BP225" s="3">
        <f t="shared" si="22"/>
        <v>1.0033375551980284</v>
      </c>
      <c r="BQ225" s="3">
        <f t="shared" si="23"/>
        <v>0.99906518443658421</v>
      </c>
    </row>
    <row r="226" spans="1:69" hidden="1" x14ac:dyDescent="0.35">
      <c r="A226">
        <v>224</v>
      </c>
      <c r="B226">
        <v>4255</v>
      </c>
      <c r="D226">
        <v>20</v>
      </c>
      <c r="E226">
        <v>1</v>
      </c>
      <c r="G226">
        <v>16626.599999999999</v>
      </c>
      <c r="I226" t="s">
        <v>62</v>
      </c>
      <c r="L226" t="s">
        <v>964</v>
      </c>
      <c r="M226">
        <v>9.61</v>
      </c>
      <c r="N226">
        <v>40.18</v>
      </c>
      <c r="O226">
        <v>9.17</v>
      </c>
      <c r="P226" s="3">
        <f t="shared" si="18"/>
        <v>0.95421436004162341</v>
      </c>
      <c r="Q226">
        <v>32.799999999999997</v>
      </c>
      <c r="R226" s="3">
        <f t="shared" si="19"/>
        <v>0.81632653061224481</v>
      </c>
      <c r="S226">
        <v>300</v>
      </c>
      <c r="T226">
        <v>9.3699999999999992</v>
      </c>
      <c r="U226">
        <v>39.549999999999997</v>
      </c>
      <c r="V226">
        <v>8.9670000000000005</v>
      </c>
      <c r="W226" s="3">
        <f t="shared" si="20"/>
        <v>0.956990394877268</v>
      </c>
      <c r="X226">
        <v>32.08</v>
      </c>
      <c r="Y226" s="3">
        <f t="shared" si="21"/>
        <v>0.81112515802781293</v>
      </c>
      <c r="Z226">
        <v>287.7</v>
      </c>
      <c r="AA226">
        <v>77.599999999999994</v>
      </c>
      <c r="AB226">
        <v>25.1</v>
      </c>
      <c r="AC226" t="s">
        <v>64</v>
      </c>
      <c r="AE226" t="s">
        <v>65</v>
      </c>
      <c r="AF226" t="s">
        <v>66</v>
      </c>
      <c r="AG226" s="2">
        <v>44288</v>
      </c>
      <c r="AH226" s="1">
        <v>0.42237268518518517</v>
      </c>
      <c r="AI226" t="s">
        <v>68</v>
      </c>
      <c r="AJ226" t="s">
        <v>69</v>
      </c>
      <c r="AO226">
        <v>7.4</v>
      </c>
      <c r="AP226">
        <v>41.4</v>
      </c>
      <c r="AQ226">
        <v>9.6</v>
      </c>
      <c r="AR226">
        <v>1.9</v>
      </c>
      <c r="AS226">
        <v>37.4</v>
      </c>
      <c r="AT226">
        <v>38.4</v>
      </c>
      <c r="AY226">
        <v>2.36</v>
      </c>
      <c r="AZ226" t="s">
        <v>965</v>
      </c>
      <c r="BB226" t="s">
        <v>965</v>
      </c>
      <c r="BD226" t="s">
        <v>68</v>
      </c>
      <c r="BE226" t="s">
        <v>1014</v>
      </c>
      <c r="BF226" t="s">
        <v>1015</v>
      </c>
      <c r="BG226" t="s">
        <v>1016</v>
      </c>
      <c r="BH226">
        <v>0</v>
      </c>
      <c r="BI226">
        <v>1</v>
      </c>
      <c r="BJ226">
        <v>2</v>
      </c>
      <c r="BK226" t="s">
        <v>1017</v>
      </c>
      <c r="BL226">
        <v>8.8620000000000001</v>
      </c>
      <c r="BM226">
        <v>8.8620000000000001</v>
      </c>
      <c r="BN226" t="s">
        <v>865</v>
      </c>
      <c r="BO226" s="1">
        <v>0.59991898148148148</v>
      </c>
      <c r="BP226" s="3">
        <f t="shared" si="22"/>
        <v>1.0029092360709426</v>
      </c>
      <c r="BQ226" s="3">
        <f t="shared" si="23"/>
        <v>0.99362831858407097</v>
      </c>
    </row>
    <row r="227" spans="1:69" hidden="1" x14ac:dyDescent="0.35">
      <c r="A227">
        <v>225</v>
      </c>
      <c r="B227">
        <v>4255</v>
      </c>
      <c r="D227">
        <v>20</v>
      </c>
      <c r="E227">
        <v>1</v>
      </c>
      <c r="G227">
        <v>16626.599999999999</v>
      </c>
      <c r="I227" t="s">
        <v>62</v>
      </c>
      <c r="L227" t="s">
        <v>970</v>
      </c>
      <c r="M227">
        <v>9.61</v>
      </c>
      <c r="N227">
        <v>40.18</v>
      </c>
      <c r="O227">
        <v>9.17</v>
      </c>
      <c r="P227" s="3">
        <f t="shared" si="18"/>
        <v>0.95421436004162341</v>
      </c>
      <c r="Q227">
        <v>32.799999999999997</v>
      </c>
      <c r="R227" s="3">
        <f t="shared" si="19"/>
        <v>0.81632653061224481</v>
      </c>
      <c r="S227">
        <v>300</v>
      </c>
      <c r="T227">
        <v>9.3689999999999998</v>
      </c>
      <c r="U227">
        <v>39.6</v>
      </c>
      <c r="V227">
        <v>8.98</v>
      </c>
      <c r="W227" s="3">
        <f t="shared" si="20"/>
        <v>0.95848009392677991</v>
      </c>
      <c r="X227">
        <v>32.31</v>
      </c>
      <c r="Y227" s="3">
        <f t="shared" si="21"/>
        <v>0.81590909090909092</v>
      </c>
      <c r="Z227">
        <v>290.2</v>
      </c>
      <c r="AA227">
        <v>78.2</v>
      </c>
      <c r="AB227">
        <v>25</v>
      </c>
      <c r="AC227" t="s">
        <v>64</v>
      </c>
      <c r="AE227" t="s">
        <v>65</v>
      </c>
      <c r="AF227" t="s">
        <v>66</v>
      </c>
      <c r="AG227" t="s">
        <v>427</v>
      </c>
      <c r="AH227" s="1">
        <v>0.44651620370370371</v>
      </c>
      <c r="AI227" t="s">
        <v>68</v>
      </c>
      <c r="AJ227" t="s">
        <v>69</v>
      </c>
      <c r="AO227">
        <v>7.508</v>
      </c>
      <c r="AP227">
        <v>41.579000000000001</v>
      </c>
      <c r="AQ227">
        <v>9.6</v>
      </c>
      <c r="AR227">
        <v>1.88</v>
      </c>
      <c r="AS227">
        <v>37.563000000000002</v>
      </c>
      <c r="AT227">
        <v>38.4</v>
      </c>
      <c r="AY227">
        <v>2.36</v>
      </c>
      <c r="AZ227" t="s">
        <v>428</v>
      </c>
      <c r="BB227" t="s">
        <v>428</v>
      </c>
      <c r="BD227" t="s">
        <v>68</v>
      </c>
      <c r="BE227" t="s">
        <v>1018</v>
      </c>
      <c r="BF227" t="s">
        <v>1019</v>
      </c>
      <c r="BG227" t="s">
        <v>1020</v>
      </c>
      <c r="BH227">
        <v>0</v>
      </c>
      <c r="BI227">
        <v>0</v>
      </c>
      <c r="BJ227">
        <v>2</v>
      </c>
      <c r="BK227" t="s">
        <v>1021</v>
      </c>
      <c r="BL227">
        <v>8.8620000000000001</v>
      </c>
      <c r="BM227">
        <v>8.8620000000000001</v>
      </c>
      <c r="BN227" t="s">
        <v>865</v>
      </c>
      <c r="BO227" s="1">
        <v>0.59991898148148148</v>
      </c>
      <c r="BP227" s="3">
        <f t="shared" si="22"/>
        <v>1.0044704146822632</v>
      </c>
      <c r="BQ227" s="3">
        <f t="shared" si="23"/>
        <v>0.9994886363636365</v>
      </c>
    </row>
    <row r="228" spans="1:69" hidden="1" x14ac:dyDescent="0.35">
      <c r="A228">
        <v>226</v>
      </c>
      <c r="B228">
        <v>4274</v>
      </c>
      <c r="D228">
        <v>20</v>
      </c>
      <c r="E228">
        <v>1</v>
      </c>
      <c r="G228">
        <v>16626.599999999999</v>
      </c>
      <c r="I228" t="s">
        <v>62</v>
      </c>
      <c r="L228" t="s">
        <v>964</v>
      </c>
      <c r="M228">
        <v>9.61</v>
      </c>
      <c r="N228">
        <v>40.18</v>
      </c>
      <c r="O228">
        <v>9.17</v>
      </c>
      <c r="P228" s="3">
        <f t="shared" si="18"/>
        <v>0.95421436004162341</v>
      </c>
      <c r="Q228">
        <v>32.799999999999997</v>
      </c>
      <c r="R228" s="3">
        <f t="shared" si="19"/>
        <v>0.81632653061224481</v>
      </c>
      <c r="S228">
        <v>300</v>
      </c>
      <c r="T228">
        <v>9.3610000000000007</v>
      </c>
      <c r="U228">
        <v>39.590000000000003</v>
      </c>
      <c r="V228">
        <v>8.9619999999999997</v>
      </c>
      <c r="W228" s="3">
        <f t="shared" si="20"/>
        <v>0.95737634868069643</v>
      </c>
      <c r="X228">
        <v>32.14</v>
      </c>
      <c r="Y228" s="3">
        <f t="shared" si="21"/>
        <v>0.81182116696135387</v>
      </c>
      <c r="Z228">
        <v>288</v>
      </c>
      <c r="AA228">
        <v>77.7</v>
      </c>
      <c r="AB228">
        <v>25.4</v>
      </c>
      <c r="AC228" t="s">
        <v>64</v>
      </c>
      <c r="AE228" t="s">
        <v>65</v>
      </c>
      <c r="AF228" t="s">
        <v>66</v>
      </c>
      <c r="AG228" s="2">
        <v>44288</v>
      </c>
      <c r="AH228" s="1">
        <v>0.4236111111111111</v>
      </c>
      <c r="AI228" t="s">
        <v>68</v>
      </c>
      <c r="AJ228" t="s">
        <v>69</v>
      </c>
      <c r="AO228">
        <v>7.4</v>
      </c>
      <c r="AP228">
        <v>41.2</v>
      </c>
      <c r="AQ228">
        <v>9.6</v>
      </c>
      <c r="AR228">
        <v>1.9</v>
      </c>
      <c r="AS228">
        <v>41.2</v>
      </c>
      <c r="AT228">
        <v>38.4</v>
      </c>
      <c r="AY228">
        <v>2.36</v>
      </c>
      <c r="AZ228" t="s">
        <v>965</v>
      </c>
      <c r="BB228" t="s">
        <v>965</v>
      </c>
      <c r="BD228" t="s">
        <v>68</v>
      </c>
      <c r="BE228" t="s">
        <v>1022</v>
      </c>
      <c r="BF228" t="s">
        <v>1023</v>
      </c>
      <c r="BG228" t="s">
        <v>1024</v>
      </c>
      <c r="BH228">
        <v>0</v>
      </c>
      <c r="BI228">
        <v>1</v>
      </c>
      <c r="BJ228">
        <v>2</v>
      </c>
      <c r="BK228" t="s">
        <v>1025</v>
      </c>
      <c r="BL228">
        <v>8.8620000000000001</v>
      </c>
      <c r="BM228">
        <v>8.8620000000000001</v>
      </c>
      <c r="BN228" t="s">
        <v>865</v>
      </c>
      <c r="BO228" s="1">
        <v>0.54003472222222226</v>
      </c>
      <c r="BP228" s="3">
        <f t="shared" si="22"/>
        <v>1.0033137089227362</v>
      </c>
      <c r="BQ228" s="3">
        <f t="shared" si="23"/>
        <v>0.99448092952765865</v>
      </c>
    </row>
    <row r="229" spans="1:69" hidden="1" x14ac:dyDescent="0.35">
      <c r="A229">
        <v>227</v>
      </c>
      <c r="B229">
        <v>4274</v>
      </c>
      <c r="D229">
        <v>20</v>
      </c>
      <c r="E229">
        <v>1</v>
      </c>
      <c r="G229">
        <v>16626.599999999999</v>
      </c>
      <c r="I229" t="s">
        <v>62</v>
      </c>
      <c r="L229" t="s">
        <v>970</v>
      </c>
      <c r="M229">
        <v>9.61</v>
      </c>
      <c r="N229">
        <v>40.18</v>
      </c>
      <c r="O229">
        <v>9.17</v>
      </c>
      <c r="P229" s="3">
        <f t="shared" si="18"/>
        <v>0.95421436004162341</v>
      </c>
      <c r="Q229">
        <v>32.799999999999997</v>
      </c>
      <c r="R229" s="3">
        <f t="shared" si="19"/>
        <v>0.81632653061224481</v>
      </c>
      <c r="S229">
        <v>300</v>
      </c>
      <c r="T229">
        <v>9.3859999999999992</v>
      </c>
      <c r="U229">
        <v>39.659999999999997</v>
      </c>
      <c r="V229">
        <v>8.9710000000000001</v>
      </c>
      <c r="W229" s="3">
        <f t="shared" si="20"/>
        <v>0.95578521201789912</v>
      </c>
      <c r="X229">
        <v>32.4</v>
      </c>
      <c r="Y229" s="3">
        <f t="shared" si="21"/>
        <v>0.81694402420574885</v>
      </c>
      <c r="Z229">
        <v>290.7</v>
      </c>
      <c r="AA229">
        <v>78.099999999999994</v>
      </c>
      <c r="AB229">
        <v>25.1</v>
      </c>
      <c r="AC229" t="s">
        <v>64</v>
      </c>
      <c r="AE229" t="s">
        <v>65</v>
      </c>
      <c r="AF229" t="s">
        <v>66</v>
      </c>
      <c r="AG229" t="s">
        <v>427</v>
      </c>
      <c r="AH229" s="1">
        <v>0.44355324074074076</v>
      </c>
      <c r="AI229" t="s">
        <v>68</v>
      </c>
      <c r="AJ229" t="s">
        <v>69</v>
      </c>
      <c r="AO229">
        <v>7.508</v>
      </c>
      <c r="AP229">
        <v>41.616999999999997</v>
      </c>
      <c r="AQ229">
        <v>9.6</v>
      </c>
      <c r="AR229">
        <v>1.88</v>
      </c>
      <c r="AS229">
        <v>37.676000000000002</v>
      </c>
      <c r="AT229">
        <v>38.4</v>
      </c>
      <c r="AY229">
        <v>2.36</v>
      </c>
      <c r="AZ229" t="s">
        <v>428</v>
      </c>
      <c r="BB229" t="s">
        <v>428</v>
      </c>
      <c r="BD229" t="s">
        <v>68</v>
      </c>
      <c r="BE229" t="s">
        <v>1026</v>
      </c>
      <c r="BF229" t="s">
        <v>1027</v>
      </c>
      <c r="BG229" t="s">
        <v>1028</v>
      </c>
      <c r="BH229">
        <v>0</v>
      </c>
      <c r="BI229">
        <v>0</v>
      </c>
      <c r="BJ229">
        <v>2</v>
      </c>
      <c r="BK229" t="s">
        <v>1029</v>
      </c>
      <c r="BL229">
        <v>8.8620000000000001</v>
      </c>
      <c r="BM229">
        <v>8.8620000000000001</v>
      </c>
      <c r="BN229" t="s">
        <v>865</v>
      </c>
      <c r="BO229" s="1">
        <v>0.54003472222222226</v>
      </c>
      <c r="BP229" s="3">
        <f t="shared" si="22"/>
        <v>1.0016462254625964</v>
      </c>
      <c r="BQ229" s="3">
        <f t="shared" si="23"/>
        <v>1.0007564296520424</v>
      </c>
    </row>
    <row r="230" spans="1:69" hidden="1" x14ac:dyDescent="0.35">
      <c r="A230">
        <v>228</v>
      </c>
      <c r="B230">
        <v>4272</v>
      </c>
      <c r="D230">
        <v>20</v>
      </c>
      <c r="E230">
        <v>1</v>
      </c>
      <c r="G230">
        <v>16626.599999999999</v>
      </c>
      <c r="I230" t="s">
        <v>62</v>
      </c>
      <c r="L230" t="s">
        <v>964</v>
      </c>
      <c r="M230">
        <v>9.61</v>
      </c>
      <c r="N230">
        <v>40.18</v>
      </c>
      <c r="O230">
        <v>9.17</v>
      </c>
      <c r="P230" s="3">
        <f t="shared" si="18"/>
        <v>0.95421436004162341</v>
      </c>
      <c r="Q230">
        <v>32.799999999999997</v>
      </c>
      <c r="R230" s="3">
        <f t="shared" si="19"/>
        <v>0.81632653061224481</v>
      </c>
      <c r="S230">
        <v>300</v>
      </c>
      <c r="T230">
        <v>9.3849999999999998</v>
      </c>
      <c r="U230">
        <v>39.24</v>
      </c>
      <c r="V230">
        <v>8.9380000000000006</v>
      </c>
      <c r="W230" s="3">
        <f t="shared" si="20"/>
        <v>0.95237080447522648</v>
      </c>
      <c r="X230">
        <v>31.8</v>
      </c>
      <c r="Y230" s="3">
        <f t="shared" si="21"/>
        <v>0.81039755351681952</v>
      </c>
      <c r="Z230">
        <v>284.3</v>
      </c>
      <c r="AA230">
        <v>77.2</v>
      </c>
      <c r="AB230">
        <v>25.3</v>
      </c>
      <c r="AC230" t="s">
        <v>64</v>
      </c>
      <c r="AE230" t="s">
        <v>65</v>
      </c>
      <c r="AF230" t="s">
        <v>66</v>
      </c>
      <c r="AG230" s="2">
        <v>44288</v>
      </c>
      <c r="AH230" s="1">
        <v>0.42486111111111113</v>
      </c>
      <c r="AI230" t="s">
        <v>68</v>
      </c>
      <c r="AJ230" t="s">
        <v>69</v>
      </c>
      <c r="AO230">
        <v>7.4</v>
      </c>
      <c r="AP230">
        <v>40.9</v>
      </c>
      <c r="AQ230">
        <v>9.6</v>
      </c>
      <c r="AR230">
        <v>1.9</v>
      </c>
      <c r="AS230">
        <v>37</v>
      </c>
      <c r="AT230">
        <v>38.4</v>
      </c>
      <c r="AY230">
        <v>2.36</v>
      </c>
      <c r="AZ230" t="s">
        <v>965</v>
      </c>
      <c r="BB230" t="s">
        <v>965</v>
      </c>
      <c r="BD230" t="s">
        <v>68</v>
      </c>
      <c r="BE230" t="s">
        <v>1030</v>
      </c>
      <c r="BF230" t="s">
        <v>1031</v>
      </c>
      <c r="BG230" t="s">
        <v>1032</v>
      </c>
      <c r="BH230">
        <v>0</v>
      </c>
      <c r="BI230">
        <v>1</v>
      </c>
      <c r="BJ230">
        <v>2</v>
      </c>
      <c r="BK230" t="s">
        <v>1033</v>
      </c>
      <c r="BL230">
        <v>8.8620000000000001</v>
      </c>
      <c r="BM230">
        <v>8.8620000000000001</v>
      </c>
      <c r="BN230" t="s">
        <v>865</v>
      </c>
      <c r="BO230" s="1">
        <v>0.53545138888888888</v>
      </c>
      <c r="BP230" s="3">
        <f t="shared" si="22"/>
        <v>0.9980679859331435</v>
      </c>
      <c r="BQ230" s="3">
        <f t="shared" si="23"/>
        <v>0.99273700305810408</v>
      </c>
    </row>
    <row r="231" spans="1:69" hidden="1" x14ac:dyDescent="0.35">
      <c r="A231">
        <v>229</v>
      </c>
      <c r="B231">
        <v>4272</v>
      </c>
      <c r="D231">
        <v>20</v>
      </c>
      <c r="E231">
        <v>1</v>
      </c>
      <c r="G231">
        <v>16626.599999999999</v>
      </c>
      <c r="I231" t="s">
        <v>62</v>
      </c>
      <c r="L231" t="s">
        <v>970</v>
      </c>
      <c r="M231">
        <v>9.61</v>
      </c>
      <c r="N231">
        <v>40.18</v>
      </c>
      <c r="O231">
        <v>9.17</v>
      </c>
      <c r="P231" s="3">
        <f t="shared" si="18"/>
        <v>0.95421436004162341</v>
      </c>
      <c r="Q231">
        <v>32.799999999999997</v>
      </c>
      <c r="R231" s="3">
        <f t="shared" si="19"/>
        <v>0.81632653061224481</v>
      </c>
      <c r="S231">
        <v>300</v>
      </c>
      <c r="T231">
        <v>9.3859999999999992</v>
      </c>
      <c r="U231">
        <v>39.31</v>
      </c>
      <c r="V231">
        <v>8.9450000000000003</v>
      </c>
      <c r="W231" s="3">
        <f t="shared" si="20"/>
        <v>0.95301512891540607</v>
      </c>
      <c r="X231">
        <v>31.99</v>
      </c>
      <c r="Y231" s="3">
        <f t="shared" si="21"/>
        <v>0.81378784024421258</v>
      </c>
      <c r="Z231">
        <v>286.2</v>
      </c>
      <c r="AA231">
        <v>77.599999999999994</v>
      </c>
      <c r="AB231">
        <v>25</v>
      </c>
      <c r="AC231" t="s">
        <v>64</v>
      </c>
      <c r="AE231" t="s">
        <v>65</v>
      </c>
      <c r="AF231" t="s">
        <v>66</v>
      </c>
      <c r="AG231" t="s">
        <v>427</v>
      </c>
      <c r="AH231" s="1">
        <v>0.4415972222222222</v>
      </c>
      <c r="AI231" t="s">
        <v>68</v>
      </c>
      <c r="AJ231" t="s">
        <v>69</v>
      </c>
      <c r="AO231">
        <v>7.508</v>
      </c>
      <c r="AP231">
        <v>41.353999999999999</v>
      </c>
      <c r="AQ231">
        <v>9.6</v>
      </c>
      <c r="AR231">
        <v>1.875</v>
      </c>
      <c r="AS231">
        <v>37.225999999999999</v>
      </c>
      <c r="AT231">
        <v>38.4</v>
      </c>
      <c r="AY231">
        <v>2.36</v>
      </c>
      <c r="AZ231" t="s">
        <v>428</v>
      </c>
      <c r="BB231" t="s">
        <v>428</v>
      </c>
      <c r="BD231" t="s">
        <v>68</v>
      </c>
      <c r="BE231" t="s">
        <v>1034</v>
      </c>
      <c r="BF231" t="s">
        <v>1035</v>
      </c>
      <c r="BG231" t="s">
        <v>1036</v>
      </c>
      <c r="BH231">
        <v>0</v>
      </c>
      <c r="BI231">
        <v>0</v>
      </c>
      <c r="BJ231">
        <v>2</v>
      </c>
      <c r="BK231" t="s">
        <v>1037</v>
      </c>
      <c r="BL231">
        <v>8.8620000000000001</v>
      </c>
      <c r="BM231">
        <v>8.8620000000000001</v>
      </c>
      <c r="BN231" t="s">
        <v>865</v>
      </c>
      <c r="BO231" s="1">
        <v>0.53545138888888888</v>
      </c>
      <c r="BP231" s="3">
        <f t="shared" si="22"/>
        <v>0.9987432267041495</v>
      </c>
      <c r="BQ231" s="3">
        <f t="shared" si="23"/>
        <v>0.99689010429916047</v>
      </c>
    </row>
    <row r="232" spans="1:69" hidden="1" x14ac:dyDescent="0.35">
      <c r="A232">
        <v>230</v>
      </c>
      <c r="B232">
        <v>4273</v>
      </c>
      <c r="D232">
        <v>20</v>
      </c>
      <c r="E232">
        <v>1</v>
      </c>
      <c r="G232">
        <v>16626.599999999999</v>
      </c>
      <c r="I232" t="s">
        <v>62</v>
      </c>
      <c r="L232" t="s">
        <v>970</v>
      </c>
      <c r="M232">
        <v>9.61</v>
      </c>
      <c r="N232">
        <v>40.18</v>
      </c>
      <c r="O232">
        <v>9.17</v>
      </c>
      <c r="P232" s="3">
        <f t="shared" si="18"/>
        <v>0.95421436004162341</v>
      </c>
      <c r="Q232">
        <v>32.799999999999997</v>
      </c>
      <c r="R232" s="3">
        <f t="shared" si="19"/>
        <v>0.81632653061224481</v>
      </c>
      <c r="S232">
        <v>300</v>
      </c>
      <c r="T232">
        <v>9.3740000000000006</v>
      </c>
      <c r="U232">
        <v>39.619999999999997</v>
      </c>
      <c r="V232">
        <v>8.9659999999999993</v>
      </c>
      <c r="W232" s="3">
        <f t="shared" si="20"/>
        <v>0.95647535737145284</v>
      </c>
      <c r="X232">
        <v>32.31</v>
      </c>
      <c r="Y232" s="3">
        <f t="shared" si="21"/>
        <v>0.81549722362443222</v>
      </c>
      <c r="Z232">
        <v>289.7</v>
      </c>
      <c r="AA232">
        <v>78</v>
      </c>
      <c r="AB232">
        <v>25</v>
      </c>
      <c r="AC232" t="s">
        <v>64</v>
      </c>
      <c r="AE232" t="s">
        <v>65</v>
      </c>
      <c r="AF232" t="s">
        <v>66</v>
      </c>
      <c r="AG232" t="s">
        <v>427</v>
      </c>
      <c r="AH232" s="1">
        <v>0.45056712962962964</v>
      </c>
      <c r="AI232" t="s">
        <v>68</v>
      </c>
      <c r="AJ232" t="s">
        <v>69</v>
      </c>
      <c r="AO232">
        <v>7.508</v>
      </c>
      <c r="AP232">
        <v>41.503999999999998</v>
      </c>
      <c r="AQ232">
        <v>9.6</v>
      </c>
      <c r="AR232">
        <v>1.88</v>
      </c>
      <c r="AS232">
        <v>37.412999999999997</v>
      </c>
      <c r="AT232">
        <v>38.4</v>
      </c>
      <c r="AY232">
        <v>2.36</v>
      </c>
      <c r="AZ232" t="s">
        <v>428</v>
      </c>
      <c r="BB232" t="s">
        <v>428</v>
      </c>
      <c r="BD232" t="s">
        <v>68</v>
      </c>
      <c r="BE232" t="s">
        <v>1038</v>
      </c>
      <c r="BF232" t="s">
        <v>1039</v>
      </c>
      <c r="BG232" t="s">
        <v>1040</v>
      </c>
      <c r="BH232">
        <v>0</v>
      </c>
      <c r="BI232">
        <v>0</v>
      </c>
      <c r="BJ232">
        <v>1</v>
      </c>
      <c r="BK232" t="s">
        <v>1041</v>
      </c>
      <c r="BL232">
        <v>8.8620000000000001</v>
      </c>
      <c r="BM232">
        <v>8.8620000000000001</v>
      </c>
      <c r="BN232" t="s">
        <v>865</v>
      </c>
      <c r="BO232" s="1">
        <v>0.5376967592592593</v>
      </c>
      <c r="BP232" s="3">
        <f t="shared" si="22"/>
        <v>1.0023694857513261</v>
      </c>
      <c r="BQ232" s="3">
        <f t="shared" si="23"/>
        <v>0.99898409893992957</v>
      </c>
    </row>
    <row r="233" spans="1:69" hidden="1" x14ac:dyDescent="0.35">
      <c r="A233">
        <v>231</v>
      </c>
      <c r="B233">
        <v>4261</v>
      </c>
      <c r="D233">
        <v>20</v>
      </c>
      <c r="E233">
        <v>1</v>
      </c>
      <c r="G233">
        <v>16626.599999999999</v>
      </c>
      <c r="I233" t="s">
        <v>62</v>
      </c>
      <c r="L233" t="s">
        <v>866</v>
      </c>
      <c r="M233">
        <v>9.61</v>
      </c>
      <c r="N233">
        <v>40.18</v>
      </c>
      <c r="O233">
        <v>9.17</v>
      </c>
      <c r="P233" s="3">
        <f t="shared" si="18"/>
        <v>0.95421436004162341</v>
      </c>
      <c r="Q233">
        <v>32.799999999999997</v>
      </c>
      <c r="R233" s="3">
        <f t="shared" si="19"/>
        <v>0.81632653061224481</v>
      </c>
      <c r="S233">
        <v>300</v>
      </c>
      <c r="T233">
        <v>9.3870000000000005</v>
      </c>
      <c r="U233">
        <v>39.6</v>
      </c>
      <c r="V233">
        <v>8.9789999999999992</v>
      </c>
      <c r="W233" s="3">
        <f t="shared" si="20"/>
        <v>0.95653563438798328</v>
      </c>
      <c r="X233">
        <v>32.11</v>
      </c>
      <c r="Y233" s="3">
        <f t="shared" si="21"/>
        <v>0.81085858585858583</v>
      </c>
      <c r="Z233">
        <v>288.39999999999998</v>
      </c>
      <c r="AA233">
        <v>77.599999999999994</v>
      </c>
      <c r="AB233">
        <v>24.8</v>
      </c>
      <c r="AC233" t="s">
        <v>64</v>
      </c>
      <c r="AE233" t="s">
        <v>65</v>
      </c>
      <c r="AF233" t="s">
        <v>66</v>
      </c>
      <c r="AG233" s="2">
        <v>44229</v>
      </c>
      <c r="AH233" s="1">
        <v>0.44791666666666669</v>
      </c>
      <c r="AI233" t="s">
        <v>68</v>
      </c>
      <c r="AJ233" t="s">
        <v>69</v>
      </c>
      <c r="AO233">
        <v>7.4980000000000002</v>
      </c>
      <c r="AP233">
        <v>41.241</v>
      </c>
      <c r="AQ233">
        <v>12.8</v>
      </c>
      <c r="AR233">
        <v>1.88</v>
      </c>
      <c r="AS233">
        <v>37.075000000000003</v>
      </c>
      <c r="AT233">
        <v>38.4</v>
      </c>
      <c r="AY233">
        <v>2.36</v>
      </c>
      <c r="AZ233" s="2">
        <v>44288</v>
      </c>
      <c r="BB233" s="2">
        <v>44288</v>
      </c>
      <c r="BD233" t="s">
        <v>68</v>
      </c>
      <c r="BE233" t="s">
        <v>1042</v>
      </c>
      <c r="BF233" t="s">
        <v>1043</v>
      </c>
      <c r="BG233" t="s">
        <v>1044</v>
      </c>
      <c r="BH233">
        <v>0</v>
      </c>
      <c r="BI233">
        <v>0</v>
      </c>
      <c r="BJ233">
        <v>1</v>
      </c>
      <c r="BK233" t="s">
        <v>1045</v>
      </c>
      <c r="BL233">
        <v>8.8620000000000001</v>
      </c>
      <c r="BM233">
        <v>8.8620000000000001</v>
      </c>
      <c r="BN233" t="s">
        <v>865</v>
      </c>
      <c r="BO233" s="1">
        <v>0.51682870370370371</v>
      </c>
      <c r="BP233" s="3">
        <f t="shared" si="22"/>
        <v>1.0024326550129246</v>
      </c>
      <c r="BQ233" s="3">
        <f t="shared" si="23"/>
        <v>0.99330176767676781</v>
      </c>
    </row>
    <row r="234" spans="1:69" hidden="1" x14ac:dyDescent="0.35">
      <c r="A234">
        <v>232</v>
      </c>
      <c r="B234">
        <v>4240</v>
      </c>
      <c r="D234">
        <v>20</v>
      </c>
      <c r="E234">
        <v>1</v>
      </c>
      <c r="G234">
        <v>16626.599999999999</v>
      </c>
      <c r="I234" t="s">
        <v>62</v>
      </c>
      <c r="L234" t="s">
        <v>1046</v>
      </c>
      <c r="M234">
        <v>9.61</v>
      </c>
      <c r="N234">
        <v>40.18</v>
      </c>
      <c r="O234">
        <v>9.17</v>
      </c>
      <c r="P234" s="3">
        <f t="shared" si="18"/>
        <v>0.95421436004162341</v>
      </c>
      <c r="Q234">
        <v>32.799999999999997</v>
      </c>
      <c r="R234" s="3">
        <f t="shared" si="19"/>
        <v>0.81632653061224481</v>
      </c>
      <c r="S234">
        <v>300</v>
      </c>
      <c r="T234">
        <v>9.3000000000000007</v>
      </c>
      <c r="U234">
        <v>39.04</v>
      </c>
      <c r="V234">
        <v>8.859</v>
      </c>
      <c r="W234" s="3">
        <f t="shared" si="20"/>
        <v>0.95258064516129026</v>
      </c>
      <c r="X234">
        <v>31.54</v>
      </c>
      <c r="Y234" s="3">
        <f t="shared" si="21"/>
        <v>0.80788934426229508</v>
      </c>
      <c r="Z234">
        <v>279.39999999999998</v>
      </c>
      <c r="AA234">
        <v>77</v>
      </c>
      <c r="AB234">
        <v>25.2</v>
      </c>
      <c r="AC234" t="s">
        <v>64</v>
      </c>
      <c r="AE234" t="s">
        <v>65</v>
      </c>
      <c r="AF234" t="s">
        <v>66</v>
      </c>
      <c r="AG234" s="2">
        <v>44229</v>
      </c>
      <c r="AH234" s="1">
        <v>0.44278935185185186</v>
      </c>
      <c r="AI234" t="s">
        <v>68</v>
      </c>
      <c r="AJ234" t="s">
        <v>69</v>
      </c>
      <c r="AO234">
        <v>7.4980000000000002</v>
      </c>
      <c r="AP234">
        <v>41.640999999999998</v>
      </c>
      <c r="AQ234">
        <v>12.8</v>
      </c>
      <c r="AR234">
        <v>1.88</v>
      </c>
      <c r="AS234">
        <v>36.436999999999998</v>
      </c>
      <c r="AT234">
        <v>38.4</v>
      </c>
      <c r="AY234">
        <v>2.36</v>
      </c>
      <c r="AZ234" s="2">
        <v>44288</v>
      </c>
      <c r="BB234" s="2">
        <v>44288</v>
      </c>
      <c r="BD234" t="s">
        <v>68</v>
      </c>
      <c r="BE234" t="s">
        <v>1047</v>
      </c>
      <c r="BF234" t="s">
        <v>1048</v>
      </c>
      <c r="BG234" t="s">
        <v>1049</v>
      </c>
      <c r="BH234">
        <v>0</v>
      </c>
      <c r="BI234">
        <v>0</v>
      </c>
      <c r="BJ234">
        <v>1</v>
      </c>
      <c r="BK234" t="s">
        <v>1050</v>
      </c>
      <c r="BL234">
        <v>8.8620000000000001</v>
      </c>
      <c r="BM234">
        <v>8.8620000000000001</v>
      </c>
      <c r="BN234" t="s">
        <v>1051</v>
      </c>
      <c r="BO234" s="1">
        <v>0.60200231481481481</v>
      </c>
      <c r="BP234" s="3">
        <f t="shared" si="22"/>
        <v>0.99828789531079587</v>
      </c>
      <c r="BQ234" s="3">
        <f t="shared" si="23"/>
        <v>0.9896644467213116</v>
      </c>
    </row>
    <row r="235" spans="1:69" hidden="1" x14ac:dyDescent="0.35">
      <c r="A235">
        <v>233</v>
      </c>
      <c r="B235">
        <v>4145</v>
      </c>
      <c r="D235">
        <v>25</v>
      </c>
      <c r="E235">
        <v>1</v>
      </c>
      <c r="G235">
        <v>16683.3</v>
      </c>
      <c r="I235" t="s">
        <v>62</v>
      </c>
      <c r="L235" t="s">
        <v>426</v>
      </c>
      <c r="M235">
        <v>9.77</v>
      </c>
      <c r="N235">
        <v>39.76</v>
      </c>
      <c r="O235">
        <v>9.26</v>
      </c>
      <c r="P235" s="3">
        <f t="shared" si="18"/>
        <v>0.94779938587512791</v>
      </c>
      <c r="Q235">
        <v>32.409999999999997</v>
      </c>
      <c r="R235" s="3">
        <f t="shared" si="19"/>
        <v>0.8151408450704225</v>
      </c>
      <c r="S235">
        <v>300</v>
      </c>
      <c r="T235">
        <v>9.6199999999999992</v>
      </c>
      <c r="U235">
        <v>39.44</v>
      </c>
      <c r="V235">
        <v>9.1750000000000007</v>
      </c>
      <c r="W235" s="3">
        <f t="shared" si="20"/>
        <v>0.95374220374220386</v>
      </c>
      <c r="X235">
        <v>32</v>
      </c>
      <c r="Y235" s="3">
        <f t="shared" si="21"/>
        <v>0.81135902636916846</v>
      </c>
      <c r="Z235">
        <v>293.60000000000002</v>
      </c>
      <c r="AA235">
        <v>77.400000000000006</v>
      </c>
      <c r="AB235">
        <v>25</v>
      </c>
      <c r="AC235" t="s">
        <v>64</v>
      </c>
      <c r="AE235" t="s">
        <v>65</v>
      </c>
      <c r="AF235" t="s">
        <v>66</v>
      </c>
      <c r="AG235" t="s">
        <v>427</v>
      </c>
      <c r="AH235" s="1">
        <v>0.45733796296296297</v>
      </c>
      <c r="AI235" t="s">
        <v>68</v>
      </c>
      <c r="AJ235" t="s">
        <v>69</v>
      </c>
      <c r="AO235">
        <v>7.7130000000000001</v>
      </c>
      <c r="AP235">
        <v>41.941000000000003</v>
      </c>
      <c r="AQ235">
        <v>9.6</v>
      </c>
      <c r="AR235">
        <v>1.93</v>
      </c>
      <c r="AS235">
        <v>37.412999999999997</v>
      </c>
      <c r="AT235">
        <v>51.2</v>
      </c>
      <c r="AY235">
        <v>2.36</v>
      </c>
      <c r="AZ235" t="s">
        <v>428</v>
      </c>
      <c r="BB235" t="s">
        <v>428</v>
      </c>
      <c r="BD235" t="s">
        <v>68</v>
      </c>
      <c r="BE235" t="s">
        <v>1052</v>
      </c>
      <c r="BF235" t="s">
        <v>1053</v>
      </c>
      <c r="BG235" t="s">
        <v>1054</v>
      </c>
      <c r="BH235">
        <v>0</v>
      </c>
      <c r="BI235">
        <v>0</v>
      </c>
      <c r="BJ235">
        <v>1</v>
      </c>
      <c r="BK235" t="s">
        <v>1055</v>
      </c>
      <c r="BL235">
        <v>8.8620000000000001</v>
      </c>
      <c r="BM235">
        <v>8.8620000000000001</v>
      </c>
      <c r="BN235" t="s">
        <v>425</v>
      </c>
      <c r="BO235" s="1">
        <v>0.48295138888888889</v>
      </c>
      <c r="BP235" s="3">
        <f t="shared" si="22"/>
        <v>1.0062701220908565</v>
      </c>
      <c r="BQ235" s="3">
        <f t="shared" si="23"/>
        <v>0.99536053342913111</v>
      </c>
    </row>
    <row r="236" spans="1:69" hidden="1" x14ac:dyDescent="0.35">
      <c r="A236">
        <v>234</v>
      </c>
      <c r="B236">
        <v>4137</v>
      </c>
      <c r="D236">
        <v>25</v>
      </c>
      <c r="E236">
        <v>1</v>
      </c>
      <c r="G236">
        <v>16683.3</v>
      </c>
      <c r="I236" t="s">
        <v>62</v>
      </c>
      <c r="L236" t="s">
        <v>426</v>
      </c>
      <c r="M236">
        <v>9.77</v>
      </c>
      <c r="N236">
        <v>39.76</v>
      </c>
      <c r="O236">
        <v>9.26</v>
      </c>
      <c r="P236" s="3">
        <f t="shared" si="18"/>
        <v>0.94779938587512791</v>
      </c>
      <c r="Q236">
        <v>32.409999999999997</v>
      </c>
      <c r="R236" s="3">
        <f t="shared" si="19"/>
        <v>0.8151408450704225</v>
      </c>
      <c r="S236">
        <v>300</v>
      </c>
      <c r="T236">
        <v>9.6370000000000005</v>
      </c>
      <c r="U236">
        <v>39.549999999999997</v>
      </c>
      <c r="V236">
        <v>9.19</v>
      </c>
      <c r="W236" s="3">
        <f t="shared" si="20"/>
        <v>0.95361627062363796</v>
      </c>
      <c r="X236">
        <v>32.08</v>
      </c>
      <c r="Y236" s="3">
        <f t="shared" si="21"/>
        <v>0.81112515802781293</v>
      </c>
      <c r="Z236">
        <v>294.8</v>
      </c>
      <c r="AA236">
        <v>77.3</v>
      </c>
      <c r="AB236">
        <v>25.1</v>
      </c>
      <c r="AC236" t="s">
        <v>64</v>
      </c>
      <c r="AE236" t="s">
        <v>65</v>
      </c>
      <c r="AF236" t="s">
        <v>66</v>
      </c>
      <c r="AG236" t="s">
        <v>427</v>
      </c>
      <c r="AH236" s="1">
        <v>0.4651851851851852</v>
      </c>
      <c r="AI236" t="s">
        <v>68</v>
      </c>
      <c r="AJ236" t="s">
        <v>69</v>
      </c>
      <c r="AO236">
        <v>7.718</v>
      </c>
      <c r="AP236">
        <v>41.015999999999998</v>
      </c>
      <c r="AQ236">
        <v>9.6</v>
      </c>
      <c r="AR236">
        <v>1.925</v>
      </c>
      <c r="AS236">
        <v>36.963000000000001</v>
      </c>
      <c r="AT236">
        <v>51.2</v>
      </c>
      <c r="AY236">
        <v>2.36</v>
      </c>
      <c r="AZ236" t="s">
        <v>428</v>
      </c>
      <c r="BB236" t="s">
        <v>428</v>
      </c>
      <c r="BD236" t="s">
        <v>68</v>
      </c>
      <c r="BE236" t="s">
        <v>1056</v>
      </c>
      <c r="BF236" t="s">
        <v>1057</v>
      </c>
      <c r="BG236" t="s">
        <v>1058</v>
      </c>
      <c r="BH236">
        <v>0</v>
      </c>
      <c r="BI236">
        <v>0</v>
      </c>
      <c r="BJ236">
        <v>1</v>
      </c>
      <c r="BK236" t="s">
        <v>1059</v>
      </c>
      <c r="BL236">
        <v>8.8620000000000001</v>
      </c>
      <c r="BM236">
        <v>8.8620000000000001</v>
      </c>
      <c r="BN236" t="s">
        <v>425</v>
      </c>
      <c r="BO236" s="1">
        <v>0.43788194444444445</v>
      </c>
      <c r="BP236" s="3">
        <f t="shared" si="22"/>
        <v>1.0061372531309873</v>
      </c>
      <c r="BQ236" s="3">
        <f t="shared" si="23"/>
        <v>0.99507362799092391</v>
      </c>
    </row>
    <row r="237" spans="1:69" hidden="1" x14ac:dyDescent="0.35">
      <c r="A237">
        <v>235</v>
      </c>
      <c r="B237">
        <v>4142</v>
      </c>
      <c r="D237">
        <v>25</v>
      </c>
      <c r="E237">
        <v>1</v>
      </c>
      <c r="G237">
        <v>16683.3</v>
      </c>
      <c r="I237" t="s">
        <v>62</v>
      </c>
      <c r="L237" t="s">
        <v>426</v>
      </c>
      <c r="M237">
        <v>9.77</v>
      </c>
      <c r="N237">
        <v>39.76</v>
      </c>
      <c r="O237">
        <v>9.26</v>
      </c>
      <c r="P237" s="3">
        <f t="shared" si="18"/>
        <v>0.94779938587512791</v>
      </c>
      <c r="Q237">
        <v>32.409999999999997</v>
      </c>
      <c r="R237" s="3">
        <f t="shared" si="19"/>
        <v>0.8151408450704225</v>
      </c>
      <c r="S237">
        <v>300</v>
      </c>
      <c r="T237">
        <v>9.6270000000000007</v>
      </c>
      <c r="U237">
        <v>39.61</v>
      </c>
      <c r="V237">
        <v>9.2100000000000009</v>
      </c>
      <c r="W237" s="3">
        <f t="shared" si="20"/>
        <v>0.95668432533499537</v>
      </c>
      <c r="X237">
        <v>32.21</v>
      </c>
      <c r="Y237" s="3">
        <f t="shared" si="21"/>
        <v>0.81317849028023226</v>
      </c>
      <c r="Z237">
        <v>296.60000000000002</v>
      </c>
      <c r="AA237">
        <v>77.8</v>
      </c>
      <c r="AB237">
        <v>25</v>
      </c>
      <c r="AC237" t="s">
        <v>64</v>
      </c>
      <c r="AE237" t="s">
        <v>65</v>
      </c>
      <c r="AF237" t="s">
        <v>66</v>
      </c>
      <c r="AG237" t="s">
        <v>427</v>
      </c>
      <c r="AH237" s="1">
        <v>0.46090277777777777</v>
      </c>
      <c r="AI237" t="s">
        <v>68</v>
      </c>
      <c r="AJ237" t="s">
        <v>69</v>
      </c>
      <c r="AO237">
        <v>7.718</v>
      </c>
      <c r="AP237">
        <v>41.579000000000001</v>
      </c>
      <c r="AQ237">
        <v>9.6</v>
      </c>
      <c r="AR237">
        <v>1.93</v>
      </c>
      <c r="AS237">
        <v>37.488</v>
      </c>
      <c r="AT237">
        <v>51.2</v>
      </c>
      <c r="AY237">
        <v>2.36</v>
      </c>
      <c r="AZ237" t="s">
        <v>428</v>
      </c>
      <c r="BB237" t="s">
        <v>428</v>
      </c>
      <c r="BD237" t="s">
        <v>68</v>
      </c>
      <c r="BE237" t="s">
        <v>1060</v>
      </c>
      <c r="BF237" t="s">
        <v>1061</v>
      </c>
      <c r="BG237" t="s">
        <v>1062</v>
      </c>
      <c r="BH237">
        <v>0</v>
      </c>
      <c r="BI237">
        <v>0</v>
      </c>
      <c r="BJ237">
        <v>1</v>
      </c>
      <c r="BK237" t="s">
        <v>1063</v>
      </c>
      <c r="BL237">
        <v>8.8620000000000001</v>
      </c>
      <c r="BM237">
        <v>8.8620000000000001</v>
      </c>
      <c r="BN237" t="s">
        <v>425</v>
      </c>
      <c r="BO237" s="1">
        <v>0.46952546296296294</v>
      </c>
      <c r="BP237" s="3">
        <f t="shared" si="22"/>
        <v>1.0093742827778516</v>
      </c>
      <c r="BQ237" s="3">
        <f t="shared" si="23"/>
        <v>0.99759261874551175</v>
      </c>
    </row>
    <row r="238" spans="1:69" hidden="1" x14ac:dyDescent="0.35">
      <c r="A238">
        <v>236</v>
      </c>
      <c r="B238">
        <v>4143</v>
      </c>
      <c r="D238">
        <v>25</v>
      </c>
      <c r="E238">
        <v>1</v>
      </c>
      <c r="G238">
        <v>16683.3</v>
      </c>
      <c r="I238" t="s">
        <v>62</v>
      </c>
      <c r="L238" t="s">
        <v>426</v>
      </c>
      <c r="M238">
        <v>9.77</v>
      </c>
      <c r="N238">
        <v>39.76</v>
      </c>
      <c r="O238">
        <v>9.26</v>
      </c>
      <c r="P238" s="3">
        <f t="shared" si="18"/>
        <v>0.94779938587512791</v>
      </c>
      <c r="Q238">
        <v>32.409999999999997</v>
      </c>
      <c r="R238" s="3">
        <f t="shared" si="19"/>
        <v>0.8151408450704225</v>
      </c>
      <c r="S238">
        <v>300</v>
      </c>
      <c r="T238">
        <v>9.6150000000000002</v>
      </c>
      <c r="U238">
        <v>39.56</v>
      </c>
      <c r="V238">
        <v>9.1910000000000007</v>
      </c>
      <c r="W238" s="3">
        <f t="shared" si="20"/>
        <v>0.95590223608944358</v>
      </c>
      <c r="X238">
        <v>32.18</v>
      </c>
      <c r="Y238" s="3">
        <f t="shared" si="21"/>
        <v>0.81344792719919101</v>
      </c>
      <c r="Z238">
        <v>295.8</v>
      </c>
      <c r="AA238">
        <v>77.8</v>
      </c>
      <c r="AB238">
        <v>25</v>
      </c>
      <c r="AC238" t="s">
        <v>64</v>
      </c>
      <c r="AE238" t="s">
        <v>65</v>
      </c>
      <c r="AF238" t="s">
        <v>66</v>
      </c>
      <c r="AG238" t="s">
        <v>427</v>
      </c>
      <c r="AH238" s="1">
        <v>0.46003472222222225</v>
      </c>
      <c r="AI238" t="s">
        <v>68</v>
      </c>
      <c r="AJ238" t="s">
        <v>69</v>
      </c>
      <c r="AO238">
        <v>7.7130000000000001</v>
      </c>
      <c r="AP238">
        <v>41.241</v>
      </c>
      <c r="AQ238">
        <v>9.6</v>
      </c>
      <c r="AR238">
        <v>1.93</v>
      </c>
      <c r="AS238">
        <v>37.563000000000002</v>
      </c>
      <c r="AT238">
        <v>51.2</v>
      </c>
      <c r="AY238">
        <v>2.36</v>
      </c>
      <c r="AZ238" t="s">
        <v>428</v>
      </c>
      <c r="BB238" t="s">
        <v>428</v>
      </c>
      <c r="BD238" t="s">
        <v>68</v>
      </c>
      <c r="BE238" t="s">
        <v>1064</v>
      </c>
      <c r="BF238" t="s">
        <v>1065</v>
      </c>
      <c r="BG238" t="s">
        <v>1066</v>
      </c>
      <c r="BH238">
        <v>0</v>
      </c>
      <c r="BI238">
        <v>0</v>
      </c>
      <c r="BJ238">
        <v>1</v>
      </c>
      <c r="BK238" t="s">
        <v>1067</v>
      </c>
      <c r="BL238">
        <v>8.8620000000000001</v>
      </c>
      <c r="BM238">
        <v>8.8620000000000001</v>
      </c>
      <c r="BN238" t="s">
        <v>425</v>
      </c>
      <c r="BO238" s="1">
        <v>0.47722222222222221</v>
      </c>
      <c r="BP238" s="3">
        <f t="shared" si="22"/>
        <v>1.0085491195025771</v>
      </c>
      <c r="BQ238" s="3">
        <f t="shared" si="23"/>
        <v>0.99792315906941798</v>
      </c>
    </row>
    <row r="239" spans="1:69" hidden="1" x14ac:dyDescent="0.35">
      <c r="A239">
        <v>237</v>
      </c>
      <c r="B239">
        <v>4141</v>
      </c>
      <c r="D239">
        <v>25</v>
      </c>
      <c r="E239">
        <v>1</v>
      </c>
      <c r="G239">
        <v>16683.3</v>
      </c>
      <c r="I239" t="s">
        <v>62</v>
      </c>
      <c r="L239" t="s">
        <v>426</v>
      </c>
      <c r="M239">
        <v>9.77</v>
      </c>
      <c r="N239">
        <v>39.76</v>
      </c>
      <c r="O239">
        <v>9.26</v>
      </c>
      <c r="P239" s="3">
        <f t="shared" si="18"/>
        <v>0.94779938587512791</v>
      </c>
      <c r="Q239">
        <v>32.409999999999997</v>
      </c>
      <c r="R239" s="3">
        <f t="shared" si="19"/>
        <v>0.8151408450704225</v>
      </c>
      <c r="S239">
        <v>300</v>
      </c>
      <c r="T239">
        <v>9.6199999999999992</v>
      </c>
      <c r="U239">
        <v>39.520000000000003</v>
      </c>
      <c r="V239">
        <v>9.1969999999999992</v>
      </c>
      <c r="W239" s="3">
        <f t="shared" si="20"/>
        <v>0.95602910602910607</v>
      </c>
      <c r="X239">
        <v>32.1</v>
      </c>
      <c r="Y239" s="3">
        <f t="shared" si="21"/>
        <v>0.81224696356275305</v>
      </c>
      <c r="Z239">
        <v>295.2</v>
      </c>
      <c r="AA239">
        <v>77.599999999999994</v>
      </c>
      <c r="AB239">
        <v>25</v>
      </c>
      <c r="AC239" t="s">
        <v>64</v>
      </c>
      <c r="AE239" t="s">
        <v>65</v>
      </c>
      <c r="AF239" t="s">
        <v>66</v>
      </c>
      <c r="AG239" t="s">
        <v>427</v>
      </c>
      <c r="AH239" s="1">
        <v>0.46253472222222225</v>
      </c>
      <c r="AI239" t="s">
        <v>68</v>
      </c>
      <c r="AJ239" t="s">
        <v>69</v>
      </c>
      <c r="AO239">
        <v>7.718</v>
      </c>
      <c r="AP239">
        <v>41.451999999999998</v>
      </c>
      <c r="AQ239">
        <v>9.6</v>
      </c>
      <c r="AR239">
        <v>1.93</v>
      </c>
      <c r="AS239">
        <v>37.412999999999997</v>
      </c>
      <c r="AT239">
        <v>51.2</v>
      </c>
      <c r="AY239">
        <v>2.36</v>
      </c>
      <c r="AZ239" t="s">
        <v>428</v>
      </c>
      <c r="BB239" t="s">
        <v>428</v>
      </c>
      <c r="BD239" t="s">
        <v>68</v>
      </c>
      <c r="BE239" t="s">
        <v>1068</v>
      </c>
      <c r="BF239" t="s">
        <v>1069</v>
      </c>
      <c r="BG239" t="s">
        <v>1070</v>
      </c>
      <c r="BH239">
        <v>0</v>
      </c>
      <c r="BI239">
        <v>0</v>
      </c>
      <c r="BJ239">
        <v>1</v>
      </c>
      <c r="BK239" t="s">
        <v>1071</v>
      </c>
      <c r="BL239">
        <v>8.8620000000000001</v>
      </c>
      <c r="BM239">
        <v>8.8620000000000001</v>
      </c>
      <c r="BN239" t="s">
        <v>425</v>
      </c>
      <c r="BO239" s="1">
        <v>0.46431712962962962</v>
      </c>
      <c r="BP239" s="3">
        <f t="shared" si="22"/>
        <v>1.0086829768795211</v>
      </c>
      <c r="BQ239" s="3">
        <f t="shared" si="23"/>
        <v>0.99644983866877701</v>
      </c>
    </row>
    <row r="240" spans="1:69" hidden="1" x14ac:dyDescent="0.35">
      <c r="A240">
        <v>238</v>
      </c>
      <c r="B240">
        <v>4138</v>
      </c>
      <c r="D240">
        <v>25</v>
      </c>
      <c r="E240">
        <v>1</v>
      </c>
      <c r="G240">
        <v>16683.3</v>
      </c>
      <c r="I240" t="s">
        <v>62</v>
      </c>
      <c r="L240" t="s">
        <v>426</v>
      </c>
      <c r="M240">
        <v>9.77</v>
      </c>
      <c r="N240">
        <v>39.76</v>
      </c>
      <c r="O240">
        <v>9.26</v>
      </c>
      <c r="P240" s="3">
        <f t="shared" si="18"/>
        <v>0.94779938587512791</v>
      </c>
      <c r="Q240">
        <v>32.409999999999997</v>
      </c>
      <c r="R240" s="3">
        <f t="shared" si="19"/>
        <v>0.8151408450704225</v>
      </c>
      <c r="S240">
        <v>300</v>
      </c>
      <c r="T240">
        <v>9.65</v>
      </c>
      <c r="U240">
        <v>39.520000000000003</v>
      </c>
      <c r="V240">
        <v>9.1969999999999992</v>
      </c>
      <c r="W240" s="3">
        <f t="shared" si="20"/>
        <v>0.95305699481865269</v>
      </c>
      <c r="X240">
        <v>32.090000000000003</v>
      </c>
      <c r="Y240" s="3">
        <f t="shared" si="21"/>
        <v>0.81199392712550611</v>
      </c>
      <c r="Z240">
        <v>295.2</v>
      </c>
      <c r="AA240">
        <v>77.400000000000006</v>
      </c>
      <c r="AB240">
        <v>25</v>
      </c>
      <c r="AC240" t="s">
        <v>64</v>
      </c>
      <c r="AE240" t="s">
        <v>65</v>
      </c>
      <c r="AF240" t="s">
        <v>66</v>
      </c>
      <c r="AG240" t="s">
        <v>427</v>
      </c>
      <c r="AH240" s="1">
        <v>0.46432870370370372</v>
      </c>
      <c r="AI240" t="s">
        <v>68</v>
      </c>
      <c r="AJ240" t="s">
        <v>69</v>
      </c>
      <c r="AO240">
        <v>7.7130000000000001</v>
      </c>
      <c r="AP240">
        <v>41.091000000000001</v>
      </c>
      <c r="AQ240">
        <v>9.6</v>
      </c>
      <c r="AR240">
        <v>1.93</v>
      </c>
      <c r="AS240">
        <v>37</v>
      </c>
      <c r="AT240">
        <v>51.2</v>
      </c>
      <c r="AY240">
        <v>2.36</v>
      </c>
      <c r="AZ240" t="s">
        <v>428</v>
      </c>
      <c r="BB240" t="s">
        <v>428</v>
      </c>
      <c r="BD240" t="s">
        <v>68</v>
      </c>
      <c r="BE240" t="s">
        <v>1072</v>
      </c>
      <c r="BF240" t="s">
        <v>1073</v>
      </c>
      <c r="BG240" t="s">
        <v>1074</v>
      </c>
      <c r="BH240">
        <v>0</v>
      </c>
      <c r="BI240">
        <v>0</v>
      </c>
      <c r="BJ240">
        <v>1</v>
      </c>
      <c r="BK240" t="s">
        <v>1075</v>
      </c>
      <c r="BL240">
        <v>8.8620000000000001</v>
      </c>
      <c r="BM240">
        <v>8.8620000000000001</v>
      </c>
      <c r="BN240" t="s">
        <v>425</v>
      </c>
      <c r="BO240" s="1">
        <v>0.44972222222222225</v>
      </c>
      <c r="BP240" s="3">
        <f t="shared" si="22"/>
        <v>1.0055471748788594</v>
      </c>
      <c r="BQ240" s="3">
        <f t="shared" si="23"/>
        <v>0.99613941815828833</v>
      </c>
    </row>
    <row r="241" spans="1:69" hidden="1" x14ac:dyDescent="0.35">
      <c r="A241">
        <v>239</v>
      </c>
      <c r="B241">
        <v>4146</v>
      </c>
      <c r="D241">
        <v>25</v>
      </c>
      <c r="E241">
        <v>1</v>
      </c>
      <c r="G241">
        <v>16683.3</v>
      </c>
      <c r="I241" t="s">
        <v>62</v>
      </c>
      <c r="L241" t="s">
        <v>426</v>
      </c>
      <c r="M241">
        <v>9.77</v>
      </c>
      <c r="N241">
        <v>39.76</v>
      </c>
      <c r="O241">
        <v>9.26</v>
      </c>
      <c r="P241" s="3">
        <f t="shared" si="18"/>
        <v>0.94779938587512791</v>
      </c>
      <c r="Q241">
        <v>32.409999999999997</v>
      </c>
      <c r="R241" s="3">
        <f t="shared" si="19"/>
        <v>0.8151408450704225</v>
      </c>
      <c r="S241">
        <v>300</v>
      </c>
      <c r="T241">
        <v>9.6359999999999992</v>
      </c>
      <c r="U241">
        <v>39.549999999999997</v>
      </c>
      <c r="V241">
        <v>9.18</v>
      </c>
      <c r="W241" s="3">
        <f t="shared" si="20"/>
        <v>0.95267745952677463</v>
      </c>
      <c r="X241">
        <v>32.14</v>
      </c>
      <c r="Y241" s="3">
        <f t="shared" si="21"/>
        <v>0.81264222503160566</v>
      </c>
      <c r="Z241">
        <v>295.10000000000002</v>
      </c>
      <c r="AA241">
        <v>77.400000000000006</v>
      </c>
      <c r="AB241">
        <v>25</v>
      </c>
      <c r="AC241" t="s">
        <v>64</v>
      </c>
      <c r="AE241" t="s">
        <v>65</v>
      </c>
      <c r="AF241" t="s">
        <v>66</v>
      </c>
      <c r="AG241" t="s">
        <v>427</v>
      </c>
      <c r="AH241" s="1">
        <v>0.45833333333333331</v>
      </c>
      <c r="AI241" t="s">
        <v>68</v>
      </c>
      <c r="AJ241" t="s">
        <v>69</v>
      </c>
      <c r="AO241">
        <v>7.7130000000000001</v>
      </c>
      <c r="AP241">
        <v>40.866</v>
      </c>
      <c r="AQ241">
        <v>9.6</v>
      </c>
      <c r="AR241">
        <v>1.925</v>
      </c>
      <c r="AS241">
        <v>37.526000000000003</v>
      </c>
      <c r="AT241">
        <v>51.2</v>
      </c>
      <c r="AY241">
        <v>2.36</v>
      </c>
      <c r="AZ241" t="s">
        <v>428</v>
      </c>
      <c r="BB241" t="s">
        <v>428</v>
      </c>
      <c r="BD241" t="s">
        <v>68</v>
      </c>
      <c r="BE241" t="s">
        <v>1076</v>
      </c>
      <c r="BF241" t="s">
        <v>1077</v>
      </c>
      <c r="BG241" t="s">
        <v>1078</v>
      </c>
      <c r="BH241">
        <v>0</v>
      </c>
      <c r="BI241">
        <v>0</v>
      </c>
      <c r="BJ241">
        <v>1</v>
      </c>
      <c r="BK241" t="s">
        <v>1079</v>
      </c>
      <c r="BL241">
        <v>8.8620000000000001</v>
      </c>
      <c r="BM241">
        <v>8.8620000000000001</v>
      </c>
      <c r="BN241" t="s">
        <v>425</v>
      </c>
      <c r="BO241" s="1">
        <v>0.48597222222222225</v>
      </c>
      <c r="BP241" s="3">
        <f t="shared" si="22"/>
        <v>1.005146736455355</v>
      </c>
      <c r="BQ241" s="3">
        <f t="shared" si="23"/>
        <v>0.99693473826771495</v>
      </c>
    </row>
    <row r="242" spans="1:69" hidden="1" x14ac:dyDescent="0.35">
      <c r="A242">
        <v>240</v>
      </c>
      <c r="B242">
        <v>4140</v>
      </c>
      <c r="D242">
        <v>25</v>
      </c>
      <c r="E242">
        <v>1</v>
      </c>
      <c r="G242">
        <v>16683.3</v>
      </c>
      <c r="I242" t="s">
        <v>62</v>
      </c>
      <c r="L242" t="s">
        <v>426</v>
      </c>
      <c r="M242">
        <v>9.77</v>
      </c>
      <c r="N242">
        <v>39.76</v>
      </c>
      <c r="O242">
        <v>9.26</v>
      </c>
      <c r="P242" s="3">
        <f t="shared" si="18"/>
        <v>0.94779938587512791</v>
      </c>
      <c r="Q242">
        <v>32.409999999999997</v>
      </c>
      <c r="R242" s="3">
        <f t="shared" si="19"/>
        <v>0.8151408450704225</v>
      </c>
      <c r="S242">
        <v>300</v>
      </c>
      <c r="T242">
        <v>9.6379999999999999</v>
      </c>
      <c r="U242">
        <v>39.53</v>
      </c>
      <c r="V242">
        <v>9.1969999999999992</v>
      </c>
      <c r="W242" s="3">
        <f t="shared" si="20"/>
        <v>0.95424361900809285</v>
      </c>
      <c r="X242">
        <v>32.15</v>
      </c>
      <c r="Y242" s="3">
        <f t="shared" si="21"/>
        <v>0.81330634960789272</v>
      </c>
      <c r="Z242">
        <v>295.7</v>
      </c>
      <c r="AA242">
        <v>77.599999999999994</v>
      </c>
      <c r="AB242">
        <v>25.1</v>
      </c>
      <c r="AC242" t="s">
        <v>64</v>
      </c>
      <c r="AE242" t="s">
        <v>65</v>
      </c>
      <c r="AF242" t="s">
        <v>66</v>
      </c>
      <c r="AG242" t="s">
        <v>427</v>
      </c>
      <c r="AH242" s="1">
        <v>0.46174768518518516</v>
      </c>
      <c r="AI242" t="s">
        <v>68</v>
      </c>
      <c r="AJ242" t="s">
        <v>69</v>
      </c>
      <c r="AO242">
        <v>7.718</v>
      </c>
      <c r="AP242">
        <v>41.503999999999998</v>
      </c>
      <c r="AQ242">
        <v>9.6</v>
      </c>
      <c r="AR242">
        <v>1.925</v>
      </c>
      <c r="AS242">
        <v>37.412999999999997</v>
      </c>
      <c r="AT242">
        <v>51.2</v>
      </c>
      <c r="AY242">
        <v>2.36</v>
      </c>
      <c r="AZ242" t="s">
        <v>428</v>
      </c>
      <c r="BB242" t="s">
        <v>428</v>
      </c>
      <c r="BD242" t="s">
        <v>68</v>
      </c>
      <c r="BE242" t="s">
        <v>1080</v>
      </c>
      <c r="BF242" t="s">
        <v>1081</v>
      </c>
      <c r="BG242" t="s">
        <v>1082</v>
      </c>
      <c r="BH242">
        <v>0</v>
      </c>
      <c r="BI242">
        <v>0</v>
      </c>
      <c r="BJ242">
        <v>1</v>
      </c>
      <c r="BK242" t="s">
        <v>1083</v>
      </c>
      <c r="BL242">
        <v>8.8620000000000001</v>
      </c>
      <c r="BM242">
        <v>8.8620000000000001</v>
      </c>
      <c r="BN242" t="s">
        <v>425</v>
      </c>
      <c r="BO242" s="1">
        <v>0.4550925925925926</v>
      </c>
      <c r="BP242" s="3">
        <f t="shared" si="22"/>
        <v>1.0067991531003313</v>
      </c>
      <c r="BQ242" s="3">
        <f t="shared" si="23"/>
        <v>0.99774947424899152</v>
      </c>
    </row>
    <row r="243" spans="1:69" hidden="1" x14ac:dyDescent="0.35">
      <c r="A243">
        <v>241</v>
      </c>
      <c r="B243">
        <v>4139</v>
      </c>
      <c r="D243">
        <v>25</v>
      </c>
      <c r="E243">
        <v>1</v>
      </c>
      <c r="G243">
        <v>16683.3</v>
      </c>
      <c r="I243" t="s">
        <v>62</v>
      </c>
      <c r="L243" t="s">
        <v>426</v>
      </c>
      <c r="M243">
        <v>9.77</v>
      </c>
      <c r="N243">
        <v>39.76</v>
      </c>
      <c r="O243">
        <v>9.26</v>
      </c>
      <c r="P243" s="3">
        <f t="shared" si="18"/>
        <v>0.94779938587512791</v>
      </c>
      <c r="Q243">
        <v>32.409999999999997</v>
      </c>
      <c r="R243" s="3">
        <f t="shared" si="19"/>
        <v>0.8151408450704225</v>
      </c>
      <c r="S243">
        <v>300</v>
      </c>
      <c r="T243">
        <v>9.6319999999999997</v>
      </c>
      <c r="U243">
        <v>39.58</v>
      </c>
      <c r="V243">
        <v>9.1999999999999993</v>
      </c>
      <c r="W243" s="3">
        <f t="shared" si="20"/>
        <v>0.95514950166112955</v>
      </c>
      <c r="X243">
        <v>32.21</v>
      </c>
      <c r="Y243" s="3">
        <f t="shared" si="21"/>
        <v>0.81379484588175854</v>
      </c>
      <c r="Z243">
        <v>296.3</v>
      </c>
      <c r="AA243">
        <v>77.7</v>
      </c>
      <c r="AB243">
        <v>25</v>
      </c>
      <c r="AC243" t="s">
        <v>64</v>
      </c>
      <c r="AE243" t="s">
        <v>65</v>
      </c>
      <c r="AF243" t="s">
        <v>66</v>
      </c>
      <c r="AG243" t="s">
        <v>427</v>
      </c>
      <c r="AH243" s="1">
        <v>0.46350694444444446</v>
      </c>
      <c r="AI243" t="s">
        <v>68</v>
      </c>
      <c r="AJ243" t="s">
        <v>69</v>
      </c>
      <c r="AO243">
        <v>7.718</v>
      </c>
      <c r="AP243">
        <v>41.579000000000001</v>
      </c>
      <c r="AQ243">
        <v>9.6</v>
      </c>
      <c r="AR243">
        <v>1.93</v>
      </c>
      <c r="AS243">
        <v>37.451000000000001</v>
      </c>
      <c r="AT243">
        <v>51.2</v>
      </c>
      <c r="AY243">
        <v>2.36</v>
      </c>
      <c r="AZ243" t="s">
        <v>428</v>
      </c>
      <c r="BB243" t="s">
        <v>428</v>
      </c>
      <c r="BD243" t="s">
        <v>68</v>
      </c>
      <c r="BE243" t="s">
        <v>1084</v>
      </c>
      <c r="BF243" t="s">
        <v>1085</v>
      </c>
      <c r="BG243" t="s">
        <v>1086</v>
      </c>
      <c r="BH243">
        <v>0</v>
      </c>
      <c r="BI243">
        <v>0</v>
      </c>
      <c r="BJ243">
        <v>1</v>
      </c>
      <c r="BK243" t="s">
        <v>1087</v>
      </c>
      <c r="BL243">
        <v>8.8620000000000001</v>
      </c>
      <c r="BM243">
        <v>8.8620000000000001</v>
      </c>
      <c r="BN243" t="s">
        <v>425</v>
      </c>
      <c r="BO243" s="1">
        <v>0.4525925925925926</v>
      </c>
      <c r="BP243" s="3">
        <f t="shared" si="22"/>
        <v>1.0077549277785351</v>
      </c>
      <c r="BQ243" s="3">
        <f t="shared" si="23"/>
        <v>0.99834875261520273</v>
      </c>
    </row>
    <row r="244" spans="1:69" hidden="1" x14ac:dyDescent="0.35">
      <c r="A244">
        <v>242</v>
      </c>
      <c r="B244">
        <v>4144</v>
      </c>
      <c r="D244">
        <v>25</v>
      </c>
      <c r="E244">
        <v>1</v>
      </c>
      <c r="G244">
        <v>16683.3</v>
      </c>
      <c r="I244" t="s">
        <v>62</v>
      </c>
      <c r="L244" t="s">
        <v>426</v>
      </c>
      <c r="M244">
        <v>9.77</v>
      </c>
      <c r="N244">
        <v>39.76</v>
      </c>
      <c r="O244">
        <v>9.26</v>
      </c>
      <c r="P244" s="3">
        <f t="shared" si="18"/>
        <v>0.94779938587512791</v>
      </c>
      <c r="Q244">
        <v>32.409999999999997</v>
      </c>
      <c r="R244" s="3">
        <f t="shared" si="19"/>
        <v>0.8151408450704225</v>
      </c>
      <c r="S244">
        <v>300</v>
      </c>
      <c r="T244">
        <v>9.6389999999999993</v>
      </c>
      <c r="U244">
        <v>39.57</v>
      </c>
      <c r="V244">
        <v>9.1809999999999992</v>
      </c>
      <c r="W244" s="3">
        <f t="shared" si="20"/>
        <v>0.95248469758273679</v>
      </c>
      <c r="X244">
        <v>32.11</v>
      </c>
      <c r="Y244" s="3">
        <f t="shared" si="21"/>
        <v>0.81147333838766744</v>
      </c>
      <c r="Z244">
        <v>294.8</v>
      </c>
      <c r="AA244">
        <v>77.3</v>
      </c>
      <c r="AB244">
        <v>25.1</v>
      </c>
      <c r="AC244" t="s">
        <v>64</v>
      </c>
      <c r="AE244" t="s">
        <v>65</v>
      </c>
      <c r="AF244" t="s">
        <v>66</v>
      </c>
      <c r="AG244" t="s">
        <v>427</v>
      </c>
      <c r="AH244" s="1">
        <v>0.4592013888888889</v>
      </c>
      <c r="AI244" t="s">
        <v>68</v>
      </c>
      <c r="AJ244" t="s">
        <v>69</v>
      </c>
      <c r="AO244">
        <v>7.718</v>
      </c>
      <c r="AP244">
        <v>41.728999999999999</v>
      </c>
      <c r="AQ244">
        <v>9.6</v>
      </c>
      <c r="AR244">
        <v>1.93</v>
      </c>
      <c r="AS244">
        <v>37.563000000000002</v>
      </c>
      <c r="AT244">
        <v>51.2</v>
      </c>
      <c r="AY244">
        <v>2.36</v>
      </c>
      <c r="AZ244" t="s">
        <v>428</v>
      </c>
      <c r="BB244" t="s">
        <v>428</v>
      </c>
      <c r="BD244" t="s">
        <v>68</v>
      </c>
      <c r="BE244" t="s">
        <v>1088</v>
      </c>
      <c r="BF244" t="s">
        <v>1089</v>
      </c>
      <c r="BG244" t="s">
        <v>1090</v>
      </c>
      <c r="BH244">
        <v>0</v>
      </c>
      <c r="BI244">
        <v>0</v>
      </c>
      <c r="BJ244">
        <v>1</v>
      </c>
      <c r="BK244" t="s">
        <v>1091</v>
      </c>
      <c r="BL244">
        <v>8.8620000000000001</v>
      </c>
      <c r="BM244">
        <v>8.8620000000000001</v>
      </c>
      <c r="BN244" t="s">
        <v>425</v>
      </c>
      <c r="BO244" s="1">
        <v>0.47998842592592594</v>
      </c>
      <c r="BP244" s="3">
        <f t="shared" si="22"/>
        <v>1.004943358032758</v>
      </c>
      <c r="BQ244" s="3">
        <f t="shared" si="23"/>
        <v>0.99550076933951426</v>
      </c>
    </row>
    <row r="245" spans="1:69" hidden="1" x14ac:dyDescent="0.35">
      <c r="A245">
        <v>243</v>
      </c>
      <c r="B245">
        <v>3253</v>
      </c>
      <c r="D245">
        <v>25</v>
      </c>
      <c r="E245">
        <v>4</v>
      </c>
      <c r="G245">
        <v>16700</v>
      </c>
      <c r="I245" t="s">
        <v>182</v>
      </c>
      <c r="L245" t="s">
        <v>1092</v>
      </c>
      <c r="M245">
        <v>9.41</v>
      </c>
      <c r="N245">
        <v>38.97</v>
      </c>
      <c r="O245">
        <v>8.84</v>
      </c>
      <c r="P245" s="3">
        <f t="shared" si="18"/>
        <v>0.9394261424017003</v>
      </c>
      <c r="Q245">
        <v>31.67</v>
      </c>
      <c r="R245" s="3">
        <f t="shared" si="19"/>
        <v>0.81267641775724919</v>
      </c>
      <c r="S245">
        <v>280</v>
      </c>
      <c r="T245">
        <v>9.6579999999999995</v>
      </c>
      <c r="U245">
        <v>38.78</v>
      </c>
      <c r="V245">
        <v>9.1780000000000008</v>
      </c>
      <c r="W245" s="3">
        <f t="shared" si="20"/>
        <v>0.95030026920687527</v>
      </c>
      <c r="X245">
        <v>31.07</v>
      </c>
      <c r="Y245" s="3">
        <f t="shared" si="21"/>
        <v>0.80118617844249607</v>
      </c>
      <c r="Z245">
        <v>285.2</v>
      </c>
      <c r="AA245">
        <v>76.099999999999994</v>
      </c>
      <c r="AB245">
        <v>25.8</v>
      </c>
      <c r="AC245" t="s">
        <v>64</v>
      </c>
      <c r="AE245" t="s">
        <v>65</v>
      </c>
      <c r="AF245" t="s">
        <v>66</v>
      </c>
      <c r="AG245" t="s">
        <v>1093</v>
      </c>
      <c r="AH245" s="1">
        <v>0.36126157407407405</v>
      </c>
      <c r="AI245" t="s">
        <v>68</v>
      </c>
      <c r="AJ245" t="s">
        <v>69</v>
      </c>
      <c r="AO245">
        <v>7.5430000000000001</v>
      </c>
      <c r="AP245">
        <v>40.378</v>
      </c>
      <c r="AQ245">
        <v>19.2</v>
      </c>
      <c r="AR245">
        <v>1.885</v>
      </c>
      <c r="AS245">
        <v>36.024999999999999</v>
      </c>
      <c r="AT245">
        <v>72</v>
      </c>
      <c r="AY245">
        <v>2.36</v>
      </c>
      <c r="AZ245" s="2">
        <v>42743</v>
      </c>
      <c r="BB245" s="2">
        <v>42743</v>
      </c>
      <c r="BD245" t="s">
        <v>68</v>
      </c>
      <c r="BE245" t="s">
        <v>1094</v>
      </c>
      <c r="BF245" t="s">
        <v>1095</v>
      </c>
      <c r="BG245" t="s">
        <v>1096</v>
      </c>
      <c r="BH245">
        <v>0</v>
      </c>
      <c r="BI245">
        <v>2</v>
      </c>
      <c r="BJ245">
        <v>3</v>
      </c>
      <c r="BK245" t="s">
        <v>1097</v>
      </c>
      <c r="BL245">
        <v>9.0256000000000007</v>
      </c>
      <c r="BM245">
        <v>9.0256000000000007</v>
      </c>
      <c r="BN245" t="s">
        <v>1098</v>
      </c>
      <c r="BO245" s="1">
        <v>0.40600694444444446</v>
      </c>
      <c r="BP245" s="3">
        <f t="shared" si="22"/>
        <v>1.0115752865652372</v>
      </c>
      <c r="BQ245" s="3">
        <f t="shared" si="23"/>
        <v>0.98586123694045058</v>
      </c>
    </row>
    <row r="246" spans="1:69" hidden="1" x14ac:dyDescent="0.35">
      <c r="A246">
        <v>244</v>
      </c>
      <c r="B246">
        <v>3253</v>
      </c>
      <c r="D246">
        <v>25</v>
      </c>
      <c r="E246">
        <v>4</v>
      </c>
      <c r="G246">
        <v>16700</v>
      </c>
      <c r="I246" t="s">
        <v>182</v>
      </c>
      <c r="L246" t="s">
        <v>1099</v>
      </c>
      <c r="M246">
        <v>9.41</v>
      </c>
      <c r="N246">
        <v>38.97</v>
      </c>
      <c r="O246">
        <v>8.84</v>
      </c>
      <c r="P246" s="3">
        <f t="shared" si="18"/>
        <v>0.9394261424017003</v>
      </c>
      <c r="Q246">
        <v>31.67</v>
      </c>
      <c r="R246" s="3">
        <f t="shared" si="19"/>
        <v>0.81267641775724919</v>
      </c>
      <c r="S246">
        <v>280</v>
      </c>
      <c r="T246">
        <v>9.5129999999999999</v>
      </c>
      <c r="U246">
        <v>38.89</v>
      </c>
      <c r="V246">
        <v>9.0389999999999997</v>
      </c>
      <c r="W246" s="3">
        <f t="shared" si="20"/>
        <v>0.95017344686218852</v>
      </c>
      <c r="X246">
        <v>31.07</v>
      </c>
      <c r="Y246" s="3">
        <f t="shared" si="21"/>
        <v>0.79892003085626129</v>
      </c>
      <c r="Z246">
        <v>280.8</v>
      </c>
      <c r="AA246">
        <v>75.900000000000006</v>
      </c>
      <c r="AB246">
        <v>25.2</v>
      </c>
      <c r="AC246" t="s">
        <v>64</v>
      </c>
      <c r="AE246" t="s">
        <v>65</v>
      </c>
      <c r="AF246" t="s">
        <v>66</v>
      </c>
      <c r="AG246" s="2">
        <v>44288</v>
      </c>
      <c r="AH246" s="1">
        <v>0.5446643518518518</v>
      </c>
      <c r="AI246" t="s">
        <v>68</v>
      </c>
      <c r="AJ246" t="s">
        <v>69</v>
      </c>
      <c r="AO246">
        <v>7.5780000000000003</v>
      </c>
      <c r="AP246">
        <v>40.566000000000003</v>
      </c>
      <c r="AQ246">
        <v>25.6</v>
      </c>
      <c r="AR246">
        <v>1.895</v>
      </c>
      <c r="AS246">
        <v>36.116999999999997</v>
      </c>
      <c r="AT246">
        <v>102.6</v>
      </c>
      <c r="AY246">
        <v>2.36</v>
      </c>
      <c r="AZ246" s="2">
        <v>44410</v>
      </c>
      <c r="BB246" s="2">
        <v>44410</v>
      </c>
      <c r="BD246" t="s">
        <v>68</v>
      </c>
      <c r="BE246" t="s">
        <v>1100</v>
      </c>
      <c r="BF246" t="s">
        <v>1101</v>
      </c>
      <c r="BG246" t="s">
        <v>1102</v>
      </c>
      <c r="BH246">
        <v>0</v>
      </c>
      <c r="BI246">
        <v>1</v>
      </c>
      <c r="BJ246">
        <v>3</v>
      </c>
      <c r="BK246" t="s">
        <v>1103</v>
      </c>
      <c r="BL246">
        <v>8.8620000000000001</v>
      </c>
      <c r="BM246">
        <v>9.0256000000000007</v>
      </c>
      <c r="BN246" t="s">
        <v>1098</v>
      </c>
      <c r="BO246" s="1">
        <v>0.40600694444444446</v>
      </c>
      <c r="BP246" s="3">
        <f t="shared" si="22"/>
        <v>1.0114402867616736</v>
      </c>
      <c r="BQ246" s="3">
        <f t="shared" si="23"/>
        <v>0.9830727376845122</v>
      </c>
    </row>
    <row r="247" spans="1:69" hidden="1" x14ac:dyDescent="0.35">
      <c r="A247">
        <v>245</v>
      </c>
      <c r="B247">
        <v>3253</v>
      </c>
      <c r="D247">
        <v>25</v>
      </c>
      <c r="E247">
        <v>4</v>
      </c>
      <c r="G247">
        <v>16700</v>
      </c>
      <c r="I247" t="s">
        <v>182</v>
      </c>
      <c r="L247" t="s">
        <v>1104</v>
      </c>
      <c r="M247">
        <v>9.41</v>
      </c>
      <c r="N247">
        <v>38.97</v>
      </c>
      <c r="O247">
        <v>8.84</v>
      </c>
      <c r="P247" s="3">
        <f t="shared" si="18"/>
        <v>0.9394261424017003</v>
      </c>
      <c r="Q247">
        <v>31.67</v>
      </c>
      <c r="R247" s="3">
        <f t="shared" si="19"/>
        <v>0.81267641775724919</v>
      </c>
      <c r="S247">
        <v>280</v>
      </c>
      <c r="T247">
        <v>9.5</v>
      </c>
      <c r="U247">
        <v>38.979999999999997</v>
      </c>
      <c r="V247">
        <v>9.032</v>
      </c>
      <c r="W247" s="3">
        <f t="shared" si="20"/>
        <v>0.95073684210526321</v>
      </c>
      <c r="X247">
        <v>31.29</v>
      </c>
      <c r="Y247" s="3">
        <f t="shared" si="21"/>
        <v>0.80271934325295025</v>
      </c>
      <c r="Z247">
        <v>282.60000000000002</v>
      </c>
      <c r="AA247">
        <v>76.3</v>
      </c>
      <c r="AB247">
        <v>24.6</v>
      </c>
      <c r="AC247" t="s">
        <v>64</v>
      </c>
      <c r="AE247" t="s">
        <v>65</v>
      </c>
      <c r="AF247" t="s">
        <v>66</v>
      </c>
      <c r="AG247" t="s">
        <v>1105</v>
      </c>
      <c r="AH247" s="1">
        <v>0.53533564814814816</v>
      </c>
      <c r="AI247" t="s">
        <v>68</v>
      </c>
      <c r="AJ247" t="s">
        <v>69</v>
      </c>
      <c r="AO247">
        <v>7.5730000000000004</v>
      </c>
      <c r="AP247">
        <v>40.415999999999997</v>
      </c>
      <c r="AQ247">
        <v>25.6</v>
      </c>
      <c r="AR247">
        <v>1.895</v>
      </c>
      <c r="AS247">
        <v>36.262</v>
      </c>
      <c r="AT247">
        <v>102.6</v>
      </c>
      <c r="AY247">
        <v>2.36</v>
      </c>
      <c r="AZ247" t="s">
        <v>184</v>
      </c>
      <c r="BB247" t="s">
        <v>184</v>
      </c>
      <c r="BD247" t="s">
        <v>68</v>
      </c>
      <c r="BE247" t="s">
        <v>1106</v>
      </c>
      <c r="BF247" t="s">
        <v>1107</v>
      </c>
      <c r="BG247" t="s">
        <v>1108</v>
      </c>
      <c r="BH247">
        <v>0</v>
      </c>
      <c r="BI247">
        <v>0</v>
      </c>
      <c r="BJ247">
        <v>3</v>
      </c>
      <c r="BK247" t="s">
        <v>1109</v>
      </c>
      <c r="BL247">
        <v>8.8620000000000001</v>
      </c>
      <c r="BM247">
        <v>9.0256000000000007</v>
      </c>
      <c r="BN247" t="s">
        <v>1098</v>
      </c>
      <c r="BO247" s="1">
        <v>0.40600694444444446</v>
      </c>
      <c r="BP247" s="3">
        <f t="shared" si="22"/>
        <v>1.0120400095260778</v>
      </c>
      <c r="BQ247" s="3">
        <f t="shared" si="23"/>
        <v>0.98774779938640578</v>
      </c>
    </row>
    <row r="248" spans="1:69" hidden="1" x14ac:dyDescent="0.35">
      <c r="A248">
        <v>246</v>
      </c>
      <c r="B248">
        <v>3248</v>
      </c>
      <c r="D248">
        <v>25</v>
      </c>
      <c r="E248">
        <v>3</v>
      </c>
      <c r="G248">
        <v>16683.3</v>
      </c>
      <c r="I248" t="s">
        <v>62</v>
      </c>
      <c r="L248" t="s">
        <v>1092</v>
      </c>
      <c r="M248">
        <v>9.77</v>
      </c>
      <c r="N248">
        <v>39.76</v>
      </c>
      <c r="O248">
        <v>9.26</v>
      </c>
      <c r="P248" s="3">
        <f t="shared" si="18"/>
        <v>0.94779938587512791</v>
      </c>
      <c r="Q248">
        <v>32.409999999999997</v>
      </c>
      <c r="R248" s="3">
        <f t="shared" si="19"/>
        <v>0.8151408450704225</v>
      </c>
      <c r="S248">
        <v>300</v>
      </c>
      <c r="T248">
        <v>9.8279999999999994</v>
      </c>
      <c r="U248">
        <v>39.729999999999997</v>
      </c>
      <c r="V248">
        <v>9.3889999999999993</v>
      </c>
      <c r="W248" s="3">
        <f t="shared" si="20"/>
        <v>0.95533170533170531</v>
      </c>
      <c r="X248">
        <v>32.26</v>
      </c>
      <c r="Y248" s="3">
        <f t="shared" si="21"/>
        <v>0.81198087087842941</v>
      </c>
      <c r="Z248">
        <v>302.89999999999998</v>
      </c>
      <c r="AA248">
        <v>77.599999999999994</v>
      </c>
      <c r="AB248">
        <v>25</v>
      </c>
      <c r="AC248" t="s">
        <v>64</v>
      </c>
      <c r="AE248" t="s">
        <v>65</v>
      </c>
      <c r="AF248" t="s">
        <v>66</v>
      </c>
      <c r="AG248" t="s">
        <v>1093</v>
      </c>
      <c r="AH248" s="1">
        <v>0.35060185185185183</v>
      </c>
      <c r="AI248" t="s">
        <v>68</v>
      </c>
      <c r="AJ248" t="s">
        <v>69</v>
      </c>
      <c r="AO248">
        <v>7.8280000000000003</v>
      </c>
      <c r="AP248">
        <v>41.015999999999998</v>
      </c>
      <c r="AQ248">
        <v>9.6</v>
      </c>
      <c r="AR248">
        <v>1.96</v>
      </c>
      <c r="AS248">
        <v>36.963000000000001</v>
      </c>
      <c r="AT248">
        <v>25.6</v>
      </c>
      <c r="AY248">
        <v>2.36</v>
      </c>
      <c r="AZ248" s="2">
        <v>42743</v>
      </c>
      <c r="BB248" s="2">
        <v>42743</v>
      </c>
      <c r="BD248" t="s">
        <v>68</v>
      </c>
      <c r="BE248" t="s">
        <v>1110</v>
      </c>
      <c r="BF248" t="s">
        <v>1111</v>
      </c>
      <c r="BG248" t="s">
        <v>1112</v>
      </c>
      <c r="BH248">
        <v>0</v>
      </c>
      <c r="BI248">
        <v>2</v>
      </c>
      <c r="BJ248">
        <v>3</v>
      </c>
      <c r="BK248" t="s">
        <v>1113</v>
      </c>
      <c r="BL248">
        <v>9.0256000000000007</v>
      </c>
      <c r="BM248">
        <v>9.0256000000000007</v>
      </c>
      <c r="BN248" t="s">
        <v>1098</v>
      </c>
      <c r="BO248" s="1">
        <v>0.38237268518518519</v>
      </c>
      <c r="BP248" s="3">
        <f t="shared" si="22"/>
        <v>1.0079471664244883</v>
      </c>
      <c r="BQ248" s="3">
        <f t="shared" si="23"/>
        <v>0.99612340099124819</v>
      </c>
    </row>
    <row r="249" spans="1:69" hidden="1" x14ac:dyDescent="0.35">
      <c r="A249">
        <v>247</v>
      </c>
      <c r="B249">
        <v>3248</v>
      </c>
      <c r="D249">
        <v>25</v>
      </c>
      <c r="E249">
        <v>3</v>
      </c>
      <c r="G249">
        <v>16683.3</v>
      </c>
      <c r="I249" t="s">
        <v>62</v>
      </c>
      <c r="L249" t="s">
        <v>1114</v>
      </c>
      <c r="M249">
        <v>9.77</v>
      </c>
      <c r="N249">
        <v>39.76</v>
      </c>
      <c r="O249">
        <v>9.26</v>
      </c>
      <c r="P249" s="3">
        <f t="shared" si="18"/>
        <v>0.94779938587512791</v>
      </c>
      <c r="Q249">
        <v>32.409999999999997</v>
      </c>
      <c r="R249" s="3">
        <f t="shared" si="19"/>
        <v>0.8151408450704225</v>
      </c>
      <c r="S249">
        <v>300</v>
      </c>
      <c r="T249">
        <v>9.673</v>
      </c>
      <c r="U249">
        <v>39.700000000000003</v>
      </c>
      <c r="V249">
        <v>9.2200000000000006</v>
      </c>
      <c r="W249" s="3">
        <f t="shared" si="20"/>
        <v>0.95316861366690797</v>
      </c>
      <c r="X249">
        <v>32.090000000000003</v>
      </c>
      <c r="Y249" s="3">
        <f t="shared" si="21"/>
        <v>0.80831234256926954</v>
      </c>
      <c r="Z249">
        <v>295.89999999999998</v>
      </c>
      <c r="AA249">
        <v>77</v>
      </c>
      <c r="AB249">
        <v>25</v>
      </c>
      <c r="AC249" t="s">
        <v>64</v>
      </c>
      <c r="AE249" t="s">
        <v>65</v>
      </c>
      <c r="AF249" t="s">
        <v>66</v>
      </c>
      <c r="AG249" s="2">
        <v>44441</v>
      </c>
      <c r="AH249" s="1">
        <v>0.39969907407407407</v>
      </c>
      <c r="AI249" t="s">
        <v>68</v>
      </c>
      <c r="AJ249" t="s">
        <v>69</v>
      </c>
      <c r="AO249">
        <v>7.5780000000000003</v>
      </c>
      <c r="AP249">
        <v>41.128999999999998</v>
      </c>
      <c r="AQ249">
        <v>12.8</v>
      </c>
      <c r="AR249">
        <v>1.895</v>
      </c>
      <c r="AS249">
        <v>36.887999999999998</v>
      </c>
      <c r="AT249">
        <v>51.2</v>
      </c>
      <c r="AY249">
        <v>2.36</v>
      </c>
      <c r="AZ249" s="2">
        <v>44410</v>
      </c>
      <c r="BB249" s="2">
        <v>44410</v>
      </c>
      <c r="BD249" t="s">
        <v>68</v>
      </c>
      <c r="BE249" t="s">
        <v>1115</v>
      </c>
      <c r="BF249" t="s">
        <v>1116</v>
      </c>
      <c r="BG249" t="s">
        <v>1117</v>
      </c>
      <c r="BH249">
        <v>0</v>
      </c>
      <c r="BI249">
        <v>1</v>
      </c>
      <c r="BJ249">
        <v>3</v>
      </c>
      <c r="BK249" t="s">
        <v>1118</v>
      </c>
      <c r="BL249">
        <v>8.8620000000000001</v>
      </c>
      <c r="BM249">
        <v>9.0256000000000007</v>
      </c>
      <c r="BN249" t="s">
        <v>1098</v>
      </c>
      <c r="BO249" s="1">
        <v>0.38237268518518519</v>
      </c>
      <c r="BP249" s="3">
        <f t="shared" si="22"/>
        <v>1.0056649412014784</v>
      </c>
      <c r="BQ249" s="3">
        <f t="shared" si="23"/>
        <v>0.99162291701802396</v>
      </c>
    </row>
    <row r="250" spans="1:69" hidden="1" x14ac:dyDescent="0.35">
      <c r="A250">
        <v>248</v>
      </c>
      <c r="B250">
        <v>3248</v>
      </c>
      <c r="D250">
        <v>25</v>
      </c>
      <c r="E250">
        <v>3</v>
      </c>
      <c r="G250">
        <v>16683.3</v>
      </c>
      <c r="I250" t="s">
        <v>62</v>
      </c>
      <c r="L250" t="s">
        <v>1104</v>
      </c>
      <c r="M250">
        <v>9.77</v>
      </c>
      <c r="N250">
        <v>39.76</v>
      </c>
      <c r="O250">
        <v>9.26</v>
      </c>
      <c r="P250" s="3">
        <f t="shared" si="18"/>
        <v>0.94779938587512791</v>
      </c>
      <c r="Q250">
        <v>32.409999999999997</v>
      </c>
      <c r="R250" s="3">
        <f t="shared" si="19"/>
        <v>0.8151408450704225</v>
      </c>
      <c r="S250">
        <v>300</v>
      </c>
      <c r="T250">
        <v>9.6639999999999997</v>
      </c>
      <c r="U250">
        <v>39.69</v>
      </c>
      <c r="V250">
        <v>9.2149999999999999</v>
      </c>
      <c r="W250" s="3">
        <f t="shared" si="20"/>
        <v>0.9535389072847682</v>
      </c>
      <c r="X250">
        <v>32.22</v>
      </c>
      <c r="Y250" s="3">
        <f t="shared" si="21"/>
        <v>0.8117913832199547</v>
      </c>
      <c r="Z250">
        <v>296.89999999999998</v>
      </c>
      <c r="AA250">
        <v>77.400000000000006</v>
      </c>
      <c r="AB250">
        <v>24.8</v>
      </c>
      <c r="AC250" t="s">
        <v>64</v>
      </c>
      <c r="AE250" t="s">
        <v>65</v>
      </c>
      <c r="AF250" t="s">
        <v>66</v>
      </c>
      <c r="AG250" t="s">
        <v>1105</v>
      </c>
      <c r="AH250" s="1">
        <v>0.57486111111111116</v>
      </c>
      <c r="AI250" t="s">
        <v>68</v>
      </c>
      <c r="AJ250" t="s">
        <v>69</v>
      </c>
      <c r="AO250">
        <v>7.6929999999999996</v>
      </c>
      <c r="AP250">
        <v>41.241</v>
      </c>
      <c r="AQ250">
        <v>12.8</v>
      </c>
      <c r="AR250">
        <v>1.92</v>
      </c>
      <c r="AS250">
        <v>37413</v>
      </c>
      <c r="AT250">
        <v>51.2</v>
      </c>
      <c r="AY250">
        <v>2.36</v>
      </c>
      <c r="AZ250" t="s">
        <v>184</v>
      </c>
      <c r="BB250" t="s">
        <v>184</v>
      </c>
      <c r="BD250" t="s">
        <v>68</v>
      </c>
      <c r="BE250" t="s">
        <v>1119</v>
      </c>
      <c r="BF250" t="s">
        <v>1120</v>
      </c>
      <c r="BG250" t="s">
        <v>1121</v>
      </c>
      <c r="BH250">
        <v>0</v>
      </c>
      <c r="BI250">
        <v>0</v>
      </c>
      <c r="BJ250">
        <v>3</v>
      </c>
      <c r="BK250" t="s">
        <v>1122</v>
      </c>
      <c r="BL250">
        <v>8.8620000000000001</v>
      </c>
      <c r="BM250">
        <v>9.0256000000000007</v>
      </c>
      <c r="BN250" t="s">
        <v>1098</v>
      </c>
      <c r="BO250" s="1">
        <v>0.38237268518518519</v>
      </c>
      <c r="BP250" s="3">
        <f t="shared" si="22"/>
        <v>1.0060556289602793</v>
      </c>
      <c r="BQ250" s="3">
        <f t="shared" si="23"/>
        <v>0.9958909409696205</v>
      </c>
    </row>
    <row r="251" spans="1:69" hidden="1" x14ac:dyDescent="0.35">
      <c r="A251">
        <v>249</v>
      </c>
      <c r="B251">
        <v>3254</v>
      </c>
      <c r="D251">
        <v>25</v>
      </c>
      <c r="E251">
        <v>4</v>
      </c>
      <c r="G251">
        <v>16700</v>
      </c>
      <c r="I251" t="s">
        <v>182</v>
      </c>
      <c r="L251" t="s">
        <v>1092</v>
      </c>
      <c r="M251">
        <v>9.41</v>
      </c>
      <c r="N251">
        <v>38.97</v>
      </c>
      <c r="O251">
        <v>8.84</v>
      </c>
      <c r="P251" s="3">
        <f t="shared" si="18"/>
        <v>0.9394261424017003</v>
      </c>
      <c r="Q251">
        <v>31.67</v>
      </c>
      <c r="R251" s="3">
        <f t="shared" si="19"/>
        <v>0.81267641775724919</v>
      </c>
      <c r="S251">
        <v>280</v>
      </c>
      <c r="T251">
        <v>9.6240000000000006</v>
      </c>
      <c r="U251">
        <v>38.82</v>
      </c>
      <c r="V251">
        <v>9.1430000000000007</v>
      </c>
      <c r="W251" s="3">
        <f t="shared" si="20"/>
        <v>0.95002078137988366</v>
      </c>
      <c r="X251">
        <v>31.03</v>
      </c>
      <c r="Y251" s="3">
        <f t="shared" si="21"/>
        <v>0.79933024214322512</v>
      </c>
      <c r="Z251">
        <v>283.7</v>
      </c>
      <c r="AA251">
        <v>75.900000000000006</v>
      </c>
      <c r="AB251">
        <v>25.6</v>
      </c>
      <c r="AC251" t="s">
        <v>64</v>
      </c>
      <c r="AE251" t="s">
        <v>65</v>
      </c>
      <c r="AF251" t="s">
        <v>66</v>
      </c>
      <c r="AG251" t="s">
        <v>1093</v>
      </c>
      <c r="AH251" s="1">
        <v>0.36321759259259262</v>
      </c>
      <c r="AI251" t="s">
        <v>68</v>
      </c>
      <c r="AJ251" t="s">
        <v>69</v>
      </c>
      <c r="AO251">
        <v>7.5430000000000001</v>
      </c>
      <c r="AP251">
        <v>40.378</v>
      </c>
      <c r="AQ251">
        <v>19.2</v>
      </c>
      <c r="AR251">
        <v>1.885</v>
      </c>
      <c r="AS251">
        <v>35.987000000000002</v>
      </c>
      <c r="AT251">
        <v>76.8</v>
      </c>
      <c r="AY251">
        <v>2.36</v>
      </c>
      <c r="AZ251" s="2">
        <v>42743</v>
      </c>
      <c r="BB251" s="2">
        <v>42743</v>
      </c>
      <c r="BD251" t="s">
        <v>68</v>
      </c>
      <c r="BE251" t="s">
        <v>1123</v>
      </c>
      <c r="BF251" t="s">
        <v>1124</v>
      </c>
      <c r="BG251" t="s">
        <v>1125</v>
      </c>
      <c r="BH251">
        <v>0</v>
      </c>
      <c r="BI251">
        <v>2</v>
      </c>
      <c r="BJ251">
        <v>3</v>
      </c>
      <c r="BK251" t="s">
        <v>1126</v>
      </c>
      <c r="BL251">
        <v>9.0256000000000007</v>
      </c>
      <c r="BM251">
        <v>9.0256000000000007</v>
      </c>
      <c r="BN251" t="s">
        <v>1098</v>
      </c>
      <c r="BO251" s="1">
        <v>0.4092824074074074</v>
      </c>
      <c r="BP251" s="3">
        <f t="shared" si="22"/>
        <v>1.0112777774643331</v>
      </c>
      <c r="BQ251" s="3">
        <f t="shared" si="23"/>
        <v>0.98357750351504525</v>
      </c>
    </row>
    <row r="252" spans="1:69" hidden="1" x14ac:dyDescent="0.35">
      <c r="A252">
        <v>250</v>
      </c>
      <c r="B252">
        <v>3254</v>
      </c>
      <c r="D252">
        <v>25</v>
      </c>
      <c r="E252">
        <v>4</v>
      </c>
      <c r="G252">
        <v>16700</v>
      </c>
      <c r="I252" t="s">
        <v>182</v>
      </c>
      <c r="L252" t="s">
        <v>1099</v>
      </c>
      <c r="M252">
        <v>9.41</v>
      </c>
      <c r="N252">
        <v>38.97</v>
      </c>
      <c r="O252">
        <v>8.84</v>
      </c>
      <c r="P252" s="3">
        <f t="shared" si="18"/>
        <v>0.9394261424017003</v>
      </c>
      <c r="Q252">
        <v>31.67</v>
      </c>
      <c r="R252" s="3">
        <f t="shared" si="19"/>
        <v>0.81267641775724919</v>
      </c>
      <c r="S252">
        <v>280</v>
      </c>
      <c r="T252">
        <v>9.4770000000000003</v>
      </c>
      <c r="U252">
        <v>38.880000000000003</v>
      </c>
      <c r="V252">
        <v>8.9990000000000006</v>
      </c>
      <c r="W252" s="3">
        <f t="shared" si="20"/>
        <v>0.94956209771024591</v>
      </c>
      <c r="X252">
        <v>31</v>
      </c>
      <c r="Y252" s="3">
        <f t="shared" si="21"/>
        <v>0.79732510288065839</v>
      </c>
      <c r="Z252">
        <v>279</v>
      </c>
      <c r="AA252">
        <v>75.7</v>
      </c>
      <c r="AB252">
        <v>25.2</v>
      </c>
      <c r="AC252" t="s">
        <v>64</v>
      </c>
      <c r="AE252" t="s">
        <v>65</v>
      </c>
      <c r="AF252" t="s">
        <v>66</v>
      </c>
      <c r="AG252" s="2">
        <v>44288</v>
      </c>
      <c r="AH252" s="1">
        <v>0.5428587962962963</v>
      </c>
      <c r="AI252" t="s">
        <v>68</v>
      </c>
      <c r="AJ252" t="s">
        <v>69</v>
      </c>
      <c r="AO252">
        <v>7.5780000000000003</v>
      </c>
      <c r="AP252">
        <v>40.603000000000002</v>
      </c>
      <c r="AQ252">
        <v>25.6</v>
      </c>
      <c r="AR252">
        <v>1.895</v>
      </c>
      <c r="AS252">
        <v>36.1</v>
      </c>
      <c r="AT252">
        <v>102.6</v>
      </c>
      <c r="AY252">
        <v>2.36</v>
      </c>
      <c r="AZ252" s="2">
        <v>44410</v>
      </c>
      <c r="BB252" s="2">
        <v>44410</v>
      </c>
      <c r="BD252" t="s">
        <v>68</v>
      </c>
      <c r="BE252" t="s">
        <v>1127</v>
      </c>
      <c r="BF252" t="s">
        <v>1128</v>
      </c>
      <c r="BG252" t="s">
        <v>1129</v>
      </c>
      <c r="BH252">
        <v>0</v>
      </c>
      <c r="BI252">
        <v>1</v>
      </c>
      <c r="BJ252">
        <v>3</v>
      </c>
      <c r="BK252" t="s">
        <v>1130</v>
      </c>
      <c r="BL252">
        <v>8.8620000000000001</v>
      </c>
      <c r="BM252">
        <v>9.0256000000000007</v>
      </c>
      <c r="BN252" t="s">
        <v>1098</v>
      </c>
      <c r="BO252" s="1">
        <v>0.4092824074074074</v>
      </c>
      <c r="BP252" s="3">
        <f t="shared" si="22"/>
        <v>1.0107895180377164</v>
      </c>
      <c r="BQ252" s="3">
        <f t="shared" si="23"/>
        <v>0.98111017553707791</v>
      </c>
    </row>
    <row r="253" spans="1:69" hidden="1" x14ac:dyDescent="0.35">
      <c r="A253">
        <v>251</v>
      </c>
      <c r="B253">
        <v>3254</v>
      </c>
      <c r="D253">
        <v>25</v>
      </c>
      <c r="E253">
        <v>4</v>
      </c>
      <c r="G253">
        <v>16700</v>
      </c>
      <c r="I253" t="s">
        <v>182</v>
      </c>
      <c r="L253" t="s">
        <v>1104</v>
      </c>
      <c r="M253">
        <v>9.41</v>
      </c>
      <c r="N253">
        <v>38.97</v>
      </c>
      <c r="O253">
        <v>8.84</v>
      </c>
      <c r="P253" s="3">
        <f t="shared" si="18"/>
        <v>0.9394261424017003</v>
      </c>
      <c r="Q253">
        <v>31.67</v>
      </c>
      <c r="R253" s="3">
        <f t="shared" si="19"/>
        <v>0.81267641775724919</v>
      </c>
      <c r="S253">
        <v>280</v>
      </c>
      <c r="T253">
        <v>9.4640000000000004</v>
      </c>
      <c r="U253">
        <v>38.96</v>
      </c>
      <c r="V253">
        <v>8.9969999999999999</v>
      </c>
      <c r="W253" s="3">
        <f t="shared" si="20"/>
        <v>0.95065511411665249</v>
      </c>
      <c r="X253">
        <v>31.21</v>
      </c>
      <c r="Y253" s="3">
        <f t="shared" si="21"/>
        <v>0.80107802874743328</v>
      </c>
      <c r="Z253">
        <v>280.8</v>
      </c>
      <c r="AA253">
        <v>76.099999999999994</v>
      </c>
      <c r="AB253">
        <v>24.6</v>
      </c>
      <c r="AC253" t="s">
        <v>64</v>
      </c>
      <c r="AE253" t="s">
        <v>65</v>
      </c>
      <c r="AF253" t="s">
        <v>66</v>
      </c>
      <c r="AG253" t="s">
        <v>1105</v>
      </c>
      <c r="AH253" s="1">
        <v>0.53913194444444446</v>
      </c>
      <c r="AI253" t="s">
        <v>68</v>
      </c>
      <c r="AJ253" t="s">
        <v>69</v>
      </c>
      <c r="AO253">
        <v>7.5730000000000004</v>
      </c>
      <c r="AP253">
        <v>40.603000000000002</v>
      </c>
      <c r="AQ253">
        <v>25.6</v>
      </c>
      <c r="AR253">
        <v>1.9</v>
      </c>
      <c r="AS253">
        <v>36.137</v>
      </c>
      <c r="AT253">
        <v>102.6</v>
      </c>
      <c r="AY253">
        <v>2.36</v>
      </c>
      <c r="AZ253" t="s">
        <v>184</v>
      </c>
      <c r="BB253" t="s">
        <v>184</v>
      </c>
      <c r="BD253" t="s">
        <v>68</v>
      </c>
      <c r="BE253" t="s">
        <v>1131</v>
      </c>
      <c r="BF253" t="s">
        <v>1132</v>
      </c>
      <c r="BG253" t="s">
        <v>1133</v>
      </c>
      <c r="BH253">
        <v>0</v>
      </c>
      <c r="BI253">
        <v>0</v>
      </c>
      <c r="BJ253">
        <v>3</v>
      </c>
      <c r="BK253" t="s">
        <v>1134</v>
      </c>
      <c r="BL253">
        <v>8.8620000000000001</v>
      </c>
      <c r="BM253">
        <v>9.0256000000000007</v>
      </c>
      <c r="BN253" t="s">
        <v>1098</v>
      </c>
      <c r="BO253" s="1">
        <v>0.4092824074074074</v>
      </c>
      <c r="BP253" s="3">
        <f t="shared" si="22"/>
        <v>1.0119530117463462</v>
      </c>
      <c r="BQ253" s="3">
        <f t="shared" si="23"/>
        <v>0.98572815851870776</v>
      </c>
    </row>
    <row r="254" spans="1:69" x14ac:dyDescent="0.35">
      <c r="A254">
        <v>252</v>
      </c>
      <c r="B254">
        <v>3249</v>
      </c>
      <c r="D254">
        <v>25</v>
      </c>
      <c r="E254">
        <v>3</v>
      </c>
      <c r="G254">
        <v>16683.3</v>
      </c>
      <c r="I254" t="s">
        <v>62</v>
      </c>
      <c r="L254" t="s">
        <v>1092</v>
      </c>
      <c r="M254">
        <v>9.77</v>
      </c>
      <c r="N254">
        <v>39.76</v>
      </c>
      <c r="O254">
        <v>9.26</v>
      </c>
      <c r="P254" s="3">
        <f t="shared" si="18"/>
        <v>0.94779938587512791</v>
      </c>
      <c r="Q254">
        <v>32.409999999999997</v>
      </c>
      <c r="R254" s="3">
        <f t="shared" si="19"/>
        <v>0.8151408450704225</v>
      </c>
      <c r="S254">
        <v>300</v>
      </c>
      <c r="T254">
        <v>9.83</v>
      </c>
      <c r="U254">
        <v>39.729999999999997</v>
      </c>
      <c r="V254">
        <v>9.3930000000000007</v>
      </c>
      <c r="W254" s="3">
        <f t="shared" si="20"/>
        <v>0.9555442522889116</v>
      </c>
      <c r="X254">
        <v>32.369999999999997</v>
      </c>
      <c r="Y254" s="3">
        <f t="shared" si="21"/>
        <v>0.81474955952680594</v>
      </c>
      <c r="Z254">
        <v>304.10000000000002</v>
      </c>
      <c r="AA254">
        <v>77.900000000000006</v>
      </c>
      <c r="AB254">
        <v>25</v>
      </c>
      <c r="AC254" t="s">
        <v>64</v>
      </c>
      <c r="AE254" t="s">
        <v>65</v>
      </c>
      <c r="AF254" t="s">
        <v>66</v>
      </c>
      <c r="AG254" t="s">
        <v>1093</v>
      </c>
      <c r="AH254" s="1">
        <v>0.35310185185185183</v>
      </c>
      <c r="AI254" t="s">
        <v>68</v>
      </c>
      <c r="AJ254" t="s">
        <v>69</v>
      </c>
      <c r="AO254">
        <v>7.8230000000000004</v>
      </c>
      <c r="AP254">
        <v>41.316000000000003</v>
      </c>
      <c r="AQ254">
        <v>9.6</v>
      </c>
      <c r="AR254">
        <v>1.96</v>
      </c>
      <c r="AS254">
        <v>37.225999999999999</v>
      </c>
      <c r="AT254">
        <v>25.6</v>
      </c>
      <c r="AY254">
        <v>2.36</v>
      </c>
      <c r="AZ254" s="2">
        <v>42743</v>
      </c>
      <c r="BB254" s="2">
        <v>42743</v>
      </c>
      <c r="BD254" t="s">
        <v>68</v>
      </c>
      <c r="BE254" t="s">
        <v>1135</v>
      </c>
      <c r="BF254" t="s">
        <v>1136</v>
      </c>
      <c r="BG254" t="s">
        <v>1137</v>
      </c>
      <c r="BH254">
        <v>0</v>
      </c>
      <c r="BI254">
        <v>2</v>
      </c>
      <c r="BJ254">
        <v>3</v>
      </c>
      <c r="BK254" t="s">
        <v>1138</v>
      </c>
      <c r="BL254">
        <v>9.0256000000000007</v>
      </c>
      <c r="BM254">
        <v>9.0256000000000007</v>
      </c>
      <c r="BN254" t="s">
        <v>1098</v>
      </c>
      <c r="BO254" s="1">
        <v>0.39171296296296299</v>
      </c>
      <c r="BP254" s="3">
        <f t="shared" si="22"/>
        <v>1.0081714195316054</v>
      </c>
      <c r="BQ254" s="3">
        <f t="shared" si="23"/>
        <v>0.99951997799400816</v>
      </c>
    </row>
    <row r="255" spans="1:69" x14ac:dyDescent="0.35">
      <c r="A255">
        <v>253</v>
      </c>
      <c r="B255">
        <v>3249</v>
      </c>
      <c r="D255">
        <v>25</v>
      </c>
      <c r="E255">
        <v>3</v>
      </c>
      <c r="G255">
        <v>16683.3</v>
      </c>
      <c r="I255" t="s">
        <v>62</v>
      </c>
      <c r="L255" t="s">
        <v>1114</v>
      </c>
      <c r="M255">
        <v>9.77</v>
      </c>
      <c r="N255">
        <v>39.76</v>
      </c>
      <c r="O255">
        <v>9.26</v>
      </c>
      <c r="P255" s="3">
        <f t="shared" si="18"/>
        <v>0.94779938587512791</v>
      </c>
      <c r="Q255">
        <v>32.409999999999997</v>
      </c>
      <c r="R255" s="3">
        <f t="shared" si="19"/>
        <v>0.8151408450704225</v>
      </c>
      <c r="S255">
        <v>300</v>
      </c>
      <c r="T255">
        <v>9.6340000000000003</v>
      </c>
      <c r="U255">
        <v>39.68</v>
      </c>
      <c r="V255">
        <v>9.2140000000000004</v>
      </c>
      <c r="W255" s="3">
        <f t="shared" si="20"/>
        <v>0.95640440107951008</v>
      </c>
      <c r="X255">
        <v>32.1</v>
      </c>
      <c r="Y255" s="3">
        <f t="shared" si="21"/>
        <v>0.80897177419354838</v>
      </c>
      <c r="Z255">
        <v>295.8</v>
      </c>
      <c r="AA255">
        <v>77.400000000000006</v>
      </c>
      <c r="AB255">
        <v>25.1</v>
      </c>
      <c r="AC255" t="s">
        <v>64</v>
      </c>
      <c r="AE255" t="s">
        <v>65</v>
      </c>
      <c r="AF255" t="s">
        <v>66</v>
      </c>
      <c r="AG255" s="2">
        <v>44441</v>
      </c>
      <c r="AH255" s="1">
        <v>0.39877314814814813</v>
      </c>
      <c r="AI255" t="s">
        <v>68</v>
      </c>
      <c r="AJ255" t="s">
        <v>69</v>
      </c>
      <c r="AO255">
        <v>7.5780000000000003</v>
      </c>
      <c r="AP255">
        <v>46.054000000000002</v>
      </c>
      <c r="AQ255">
        <v>12.8</v>
      </c>
      <c r="AR255">
        <v>1.895</v>
      </c>
      <c r="AS255">
        <v>36.923000000000002</v>
      </c>
      <c r="AT255">
        <v>51.2</v>
      </c>
      <c r="AY255">
        <v>2.36</v>
      </c>
      <c r="AZ255" s="2">
        <v>44410</v>
      </c>
      <c r="BB255" s="2">
        <v>44410</v>
      </c>
      <c r="BD255" t="s">
        <v>68</v>
      </c>
      <c r="BE255" t="s">
        <v>1139</v>
      </c>
      <c r="BF255" t="s">
        <v>1140</v>
      </c>
      <c r="BG255" t="s">
        <v>1141</v>
      </c>
      <c r="BH255">
        <v>0</v>
      </c>
      <c r="BI255">
        <v>1</v>
      </c>
      <c r="BJ255">
        <v>3</v>
      </c>
      <c r="BK255" t="s">
        <v>1142</v>
      </c>
      <c r="BL255">
        <v>8.8620000000000001</v>
      </c>
      <c r="BM255">
        <v>9.0256000000000007</v>
      </c>
      <c r="BN255" t="s">
        <v>1098</v>
      </c>
      <c r="BO255" s="1">
        <v>0.39171296296296299</v>
      </c>
      <c r="BP255" s="3">
        <f t="shared" si="22"/>
        <v>1.0090789415277337</v>
      </c>
      <c r="BQ255" s="3">
        <f t="shared" si="23"/>
        <v>0.99243189577091895</v>
      </c>
    </row>
    <row r="256" spans="1:69" x14ac:dyDescent="0.35">
      <c r="A256">
        <v>254</v>
      </c>
      <c r="B256">
        <v>3249</v>
      </c>
      <c r="D256">
        <v>25</v>
      </c>
      <c r="E256">
        <v>3</v>
      </c>
      <c r="G256">
        <v>16683.3</v>
      </c>
      <c r="I256" t="s">
        <v>62</v>
      </c>
      <c r="L256" t="s">
        <v>1104</v>
      </c>
      <c r="M256">
        <v>9.77</v>
      </c>
      <c r="N256">
        <v>39.76</v>
      </c>
      <c r="O256">
        <v>9.26</v>
      </c>
      <c r="P256" s="3">
        <f t="shared" si="18"/>
        <v>0.94779938587512791</v>
      </c>
      <c r="Q256">
        <v>32.409999999999997</v>
      </c>
      <c r="R256" s="3">
        <f t="shared" si="19"/>
        <v>0.8151408450704225</v>
      </c>
      <c r="S256">
        <v>300</v>
      </c>
      <c r="T256">
        <v>9.6319999999999997</v>
      </c>
      <c r="U256">
        <v>39.71</v>
      </c>
      <c r="V256">
        <v>9.2149999999999999</v>
      </c>
      <c r="W256" s="3">
        <f t="shared" si="20"/>
        <v>0.9567068106312292</v>
      </c>
      <c r="X256">
        <v>32.299999999999997</v>
      </c>
      <c r="Y256" s="3">
        <f t="shared" si="21"/>
        <v>0.81339712918660279</v>
      </c>
      <c r="Z256">
        <v>297.7</v>
      </c>
      <c r="AA256">
        <v>77.8</v>
      </c>
      <c r="AB256">
        <v>24.7</v>
      </c>
      <c r="AC256" t="s">
        <v>64</v>
      </c>
      <c r="AE256" t="s">
        <v>65</v>
      </c>
      <c r="AF256" t="s">
        <v>66</v>
      </c>
      <c r="AG256" t="s">
        <v>1105</v>
      </c>
      <c r="AH256" s="1">
        <v>0.57581018518518523</v>
      </c>
      <c r="AI256" t="s">
        <v>68</v>
      </c>
      <c r="AJ256" t="s">
        <v>69</v>
      </c>
      <c r="AO256">
        <v>7.6929999999999996</v>
      </c>
      <c r="AP256">
        <v>41.429000000000002</v>
      </c>
      <c r="AQ256">
        <v>12.8</v>
      </c>
      <c r="AR256">
        <v>1.925</v>
      </c>
      <c r="AS256">
        <v>37.451000000000001</v>
      </c>
      <c r="AT256">
        <v>51.2</v>
      </c>
      <c r="AY256">
        <v>2.36</v>
      </c>
      <c r="AZ256" t="s">
        <v>184</v>
      </c>
      <c r="BB256" t="s">
        <v>184</v>
      </c>
      <c r="BD256" t="s">
        <v>68</v>
      </c>
      <c r="BE256" t="s">
        <v>1143</v>
      </c>
      <c r="BF256" t="s">
        <v>1144</v>
      </c>
      <c r="BG256" t="s">
        <v>1145</v>
      </c>
      <c r="BH256">
        <v>0</v>
      </c>
      <c r="BI256">
        <v>0</v>
      </c>
      <c r="BJ256">
        <v>3</v>
      </c>
      <c r="BK256" t="s">
        <v>1146</v>
      </c>
      <c r="BL256">
        <v>8.8620000000000001</v>
      </c>
      <c r="BM256">
        <v>9.0256000000000007</v>
      </c>
      <c r="BN256" t="s">
        <v>1098</v>
      </c>
      <c r="BO256" s="1">
        <v>0.39171296296296299</v>
      </c>
      <c r="BP256" s="3">
        <f t="shared" si="22"/>
        <v>1.0093980064651307</v>
      </c>
      <c r="BQ256" s="3">
        <f t="shared" si="23"/>
        <v>0.99786084098918015</v>
      </c>
    </row>
    <row r="257" spans="1:69" hidden="1" x14ac:dyDescent="0.35">
      <c r="A257">
        <v>255</v>
      </c>
      <c r="B257">
        <v>3246</v>
      </c>
      <c r="D257">
        <v>5</v>
      </c>
      <c r="E257">
        <v>5</v>
      </c>
      <c r="G257">
        <v>16394.400000000001</v>
      </c>
      <c r="I257" t="s">
        <v>182</v>
      </c>
      <c r="L257" t="s">
        <v>1147</v>
      </c>
      <c r="M257">
        <v>9.32</v>
      </c>
      <c r="N257">
        <v>37.9</v>
      </c>
      <c r="O257">
        <v>8.75</v>
      </c>
      <c r="P257" s="3">
        <f t="shared" si="18"/>
        <v>0.93884120171673813</v>
      </c>
      <c r="Q257">
        <v>30.8</v>
      </c>
      <c r="R257" s="3">
        <f t="shared" si="19"/>
        <v>0.81266490765171506</v>
      </c>
      <c r="S257">
        <v>270</v>
      </c>
      <c r="T257">
        <v>9.39</v>
      </c>
      <c r="U257">
        <v>37.96</v>
      </c>
      <c r="V257">
        <v>8.9169999999999998</v>
      </c>
      <c r="W257" s="3">
        <f t="shared" si="20"/>
        <v>0.94962726304579337</v>
      </c>
      <c r="X257">
        <v>30.91</v>
      </c>
      <c r="Y257" s="3">
        <f t="shared" si="21"/>
        <v>0.81427818756585879</v>
      </c>
      <c r="Z257">
        <v>275.60000000000002</v>
      </c>
      <c r="AA257">
        <v>77.3</v>
      </c>
      <c r="AB257">
        <v>25.9</v>
      </c>
      <c r="AC257" t="s">
        <v>64</v>
      </c>
      <c r="AE257" t="s">
        <v>65</v>
      </c>
      <c r="AF257" t="s">
        <v>66</v>
      </c>
      <c r="AG257" s="2">
        <v>42743</v>
      </c>
      <c r="AH257" s="1">
        <v>0.35758101851851853</v>
      </c>
      <c r="AI257" t="s">
        <v>68</v>
      </c>
      <c r="AJ257" t="s">
        <v>69</v>
      </c>
      <c r="AO257">
        <v>7.4630000000000001</v>
      </c>
      <c r="AP257">
        <v>39.215000000000003</v>
      </c>
      <c r="AQ257">
        <v>38.4</v>
      </c>
      <c r="AR257">
        <v>1.865</v>
      </c>
      <c r="AS257">
        <v>35.274000000000001</v>
      </c>
      <c r="AT257">
        <v>102.6</v>
      </c>
      <c r="AY257">
        <v>2.36</v>
      </c>
      <c r="AZ257" s="2">
        <v>42743</v>
      </c>
      <c r="BB257" s="2">
        <v>42743</v>
      </c>
      <c r="BD257" t="s">
        <v>68</v>
      </c>
      <c r="BE257" t="s">
        <v>1148</v>
      </c>
      <c r="BF257" t="s">
        <v>1149</v>
      </c>
      <c r="BG257" t="s">
        <v>1150</v>
      </c>
      <c r="BH257">
        <v>0</v>
      </c>
      <c r="BI257">
        <v>2</v>
      </c>
      <c r="BJ257">
        <v>3</v>
      </c>
      <c r="BK257" t="s">
        <v>1151</v>
      </c>
      <c r="BL257">
        <v>9.0256000000000007</v>
      </c>
      <c r="BM257">
        <v>9.0256000000000007</v>
      </c>
      <c r="BN257" t="s">
        <v>1098</v>
      </c>
      <c r="BO257" s="1">
        <v>0.37383101851851852</v>
      </c>
      <c r="BP257" s="3">
        <f t="shared" si="22"/>
        <v>1.0114886961813481</v>
      </c>
      <c r="BQ257" s="3">
        <f t="shared" si="23"/>
        <v>1.0019851723618847</v>
      </c>
    </row>
    <row r="258" spans="1:69" hidden="1" x14ac:dyDescent="0.35">
      <c r="A258">
        <v>256</v>
      </c>
      <c r="B258">
        <v>3246</v>
      </c>
      <c r="D258">
        <v>5</v>
      </c>
      <c r="E258">
        <v>5</v>
      </c>
      <c r="G258">
        <v>16394.400000000001</v>
      </c>
      <c r="I258" t="s">
        <v>182</v>
      </c>
      <c r="L258" t="s">
        <v>1152</v>
      </c>
      <c r="M258">
        <v>9.32</v>
      </c>
      <c r="N258">
        <v>37.9</v>
      </c>
      <c r="O258">
        <v>8.75</v>
      </c>
      <c r="P258" s="3">
        <f t="shared" si="18"/>
        <v>0.93884120171673813</v>
      </c>
      <c r="Q258">
        <v>30.8</v>
      </c>
      <c r="R258" s="3">
        <f t="shared" si="19"/>
        <v>0.81266490765171506</v>
      </c>
      <c r="S258">
        <v>270</v>
      </c>
      <c r="T258">
        <v>9.2279999999999998</v>
      </c>
      <c r="U258">
        <v>38.15</v>
      </c>
      <c r="V258">
        <v>8.7479999999999993</v>
      </c>
      <c r="W258" s="3">
        <f t="shared" si="20"/>
        <v>0.94798439531859557</v>
      </c>
      <c r="X258">
        <v>30.87</v>
      </c>
      <c r="Y258" s="3">
        <f t="shared" si="21"/>
        <v>0.80917431192660561</v>
      </c>
      <c r="Z258">
        <v>270.10000000000002</v>
      </c>
      <c r="AA258">
        <v>76.7</v>
      </c>
      <c r="AB258">
        <v>24.8</v>
      </c>
      <c r="AC258" t="s">
        <v>64</v>
      </c>
      <c r="AE258" t="s">
        <v>65</v>
      </c>
      <c r="AF258" t="s">
        <v>66</v>
      </c>
      <c r="AG258" s="2">
        <v>44198</v>
      </c>
      <c r="AH258" s="1">
        <v>0.62979166666666664</v>
      </c>
      <c r="AI258" t="s">
        <v>68</v>
      </c>
      <c r="AJ258" t="s">
        <v>69</v>
      </c>
      <c r="AO258">
        <v>7.3380000000000001</v>
      </c>
      <c r="AP258">
        <v>39.252000000000002</v>
      </c>
      <c r="AQ258">
        <v>38.4</v>
      </c>
      <c r="AR258">
        <v>1.84</v>
      </c>
      <c r="AS258">
        <v>35.274000000000001</v>
      </c>
      <c r="AT258">
        <v>153.6</v>
      </c>
      <c r="AY258">
        <v>2.36</v>
      </c>
      <c r="AZ258" s="2">
        <v>44229</v>
      </c>
      <c r="BB258" s="2">
        <v>44229</v>
      </c>
      <c r="BD258" t="s">
        <v>68</v>
      </c>
      <c r="BE258" t="s">
        <v>1153</v>
      </c>
      <c r="BF258" t="s">
        <v>1154</v>
      </c>
      <c r="BG258" t="s">
        <v>1155</v>
      </c>
      <c r="BH258">
        <v>0</v>
      </c>
      <c r="BI258">
        <v>1</v>
      </c>
      <c r="BJ258">
        <v>3</v>
      </c>
      <c r="BK258" t="s">
        <v>1156</v>
      </c>
      <c r="BL258">
        <v>8.8620000000000001</v>
      </c>
      <c r="BM258">
        <v>9.0256000000000007</v>
      </c>
      <c r="BN258" t="s">
        <v>1098</v>
      </c>
      <c r="BO258" s="1">
        <v>0.37383101851851852</v>
      </c>
      <c r="BP258" s="3">
        <f t="shared" si="22"/>
        <v>1.0097388073564928</v>
      </c>
      <c r="BQ258" s="3">
        <f t="shared" si="23"/>
        <v>0.99570475396163483</v>
      </c>
    </row>
    <row r="259" spans="1:69" hidden="1" x14ac:dyDescent="0.35">
      <c r="A259">
        <v>257</v>
      </c>
      <c r="B259">
        <v>3246</v>
      </c>
      <c r="D259">
        <v>5</v>
      </c>
      <c r="E259">
        <v>5</v>
      </c>
      <c r="G259">
        <v>16394.400000000001</v>
      </c>
      <c r="I259" t="s">
        <v>182</v>
      </c>
      <c r="L259" t="s">
        <v>1104</v>
      </c>
      <c r="M259">
        <v>9.32</v>
      </c>
      <c r="N259">
        <v>37.9</v>
      </c>
      <c r="O259">
        <v>8.75</v>
      </c>
      <c r="P259" s="3">
        <f t="shared" ref="P259:P322" si="24">O259/M259</f>
        <v>0.93884120171673813</v>
      </c>
      <c r="Q259">
        <v>30.8</v>
      </c>
      <c r="R259" s="3">
        <f t="shared" ref="R259:R322" si="25">Q259/N259</f>
        <v>0.81266490765171506</v>
      </c>
      <c r="S259">
        <v>270</v>
      </c>
      <c r="T259">
        <v>9.2230000000000008</v>
      </c>
      <c r="U259">
        <v>38.17</v>
      </c>
      <c r="V259">
        <v>8.7550000000000008</v>
      </c>
      <c r="W259" s="3">
        <f t="shared" ref="W259:W322" si="26">V259/T259</f>
        <v>0.9492572915537244</v>
      </c>
      <c r="X259">
        <v>31.16</v>
      </c>
      <c r="Y259" s="3">
        <f t="shared" ref="Y259:Y322" si="27">X259/U259</f>
        <v>0.81634791721247046</v>
      </c>
      <c r="Z259">
        <v>272.8</v>
      </c>
      <c r="AA259">
        <v>77.5</v>
      </c>
      <c r="AB259">
        <v>24.8</v>
      </c>
      <c r="AC259" t="s">
        <v>64</v>
      </c>
      <c r="AE259" t="s">
        <v>65</v>
      </c>
      <c r="AF259" t="s">
        <v>66</v>
      </c>
      <c r="AG259" t="s">
        <v>1105</v>
      </c>
      <c r="AH259" s="1">
        <v>0.41065972222222225</v>
      </c>
      <c r="AI259" t="s">
        <v>68</v>
      </c>
      <c r="AJ259" t="s">
        <v>69</v>
      </c>
      <c r="AO259">
        <v>7.3630000000000004</v>
      </c>
      <c r="AP259">
        <v>38.764000000000003</v>
      </c>
      <c r="AQ259">
        <v>38.4</v>
      </c>
      <c r="AR259">
        <v>1.84</v>
      </c>
      <c r="AS259">
        <v>35.348999999999997</v>
      </c>
      <c r="AT259">
        <v>153.6</v>
      </c>
      <c r="AY259">
        <v>2.36</v>
      </c>
      <c r="AZ259" t="s">
        <v>185</v>
      </c>
      <c r="BB259" t="s">
        <v>185</v>
      </c>
      <c r="BD259" t="s">
        <v>68</v>
      </c>
      <c r="BE259" t="s">
        <v>1157</v>
      </c>
      <c r="BF259" t="s">
        <v>1158</v>
      </c>
      <c r="BG259" t="s">
        <v>1159</v>
      </c>
      <c r="BH259">
        <v>0</v>
      </c>
      <c r="BI259">
        <v>0</v>
      </c>
      <c r="BJ259">
        <v>3</v>
      </c>
      <c r="BK259" t="s">
        <v>1160</v>
      </c>
      <c r="BL259">
        <v>8.8620000000000001</v>
      </c>
      <c r="BM259">
        <v>9.0256000000000007</v>
      </c>
      <c r="BN259" t="s">
        <v>1098</v>
      </c>
      <c r="BO259" s="1">
        <v>0.37383101851851852</v>
      </c>
      <c r="BP259" s="3">
        <f t="shared" ref="BP259:BP322" si="28">W259/P259</f>
        <v>1.0110946236892242</v>
      </c>
      <c r="BQ259" s="3">
        <f t="shared" ref="BQ259:BQ322" si="29">Y259/R259</f>
        <v>1.004532015011449</v>
      </c>
    </row>
    <row r="260" spans="1:69" hidden="1" x14ac:dyDescent="0.35">
      <c r="A260">
        <v>258</v>
      </c>
      <c r="B260">
        <v>3245</v>
      </c>
      <c r="D260">
        <v>5</v>
      </c>
      <c r="E260">
        <v>5</v>
      </c>
      <c r="G260">
        <v>16394.400000000001</v>
      </c>
      <c r="I260" t="s">
        <v>182</v>
      </c>
      <c r="L260" t="s">
        <v>1147</v>
      </c>
      <c r="M260">
        <v>9.32</v>
      </c>
      <c r="N260">
        <v>37.9</v>
      </c>
      <c r="O260">
        <v>8.75</v>
      </c>
      <c r="P260" s="3">
        <f t="shared" si="24"/>
        <v>0.93884120171673813</v>
      </c>
      <c r="Q260">
        <v>30.8</v>
      </c>
      <c r="R260" s="3">
        <f t="shared" si="25"/>
        <v>0.81266490765171506</v>
      </c>
      <c r="S260">
        <v>270</v>
      </c>
      <c r="T260">
        <v>9.4039999999999999</v>
      </c>
      <c r="U260">
        <v>37.96</v>
      </c>
      <c r="V260">
        <v>8.9280000000000008</v>
      </c>
      <c r="W260" s="3">
        <f t="shared" si="26"/>
        <v>0.94938324117396866</v>
      </c>
      <c r="X260">
        <v>30.92</v>
      </c>
      <c r="Y260" s="3">
        <f t="shared" si="27"/>
        <v>0.81454162276080089</v>
      </c>
      <c r="Z260">
        <v>276.10000000000002</v>
      </c>
      <c r="AA260">
        <v>77.3</v>
      </c>
      <c r="AB260">
        <v>25.7</v>
      </c>
      <c r="AC260" t="s">
        <v>64</v>
      </c>
      <c r="AE260" t="s">
        <v>65</v>
      </c>
      <c r="AF260" t="s">
        <v>66</v>
      </c>
      <c r="AG260" s="2">
        <v>42743</v>
      </c>
      <c r="AH260" s="1">
        <v>0.35901620370370368</v>
      </c>
      <c r="AI260" t="s">
        <v>68</v>
      </c>
      <c r="AJ260" t="s">
        <v>69</v>
      </c>
      <c r="AO260">
        <v>7.4630000000000001</v>
      </c>
      <c r="AP260">
        <v>38.652000000000001</v>
      </c>
      <c r="AQ260">
        <v>38.4</v>
      </c>
      <c r="AR260">
        <v>1.7649999999999999</v>
      </c>
      <c r="AS260">
        <v>34.636000000000003</v>
      </c>
      <c r="AT260">
        <v>102.6</v>
      </c>
      <c r="AY260">
        <v>2.36</v>
      </c>
      <c r="AZ260" s="2">
        <v>42743</v>
      </c>
      <c r="BB260" s="2">
        <v>42743</v>
      </c>
      <c r="BD260" t="s">
        <v>68</v>
      </c>
      <c r="BE260" t="s">
        <v>1161</v>
      </c>
      <c r="BF260" t="s">
        <v>1162</v>
      </c>
      <c r="BG260" t="s">
        <v>1163</v>
      </c>
      <c r="BH260">
        <v>0</v>
      </c>
      <c r="BI260">
        <v>2</v>
      </c>
      <c r="BJ260">
        <v>3</v>
      </c>
      <c r="BK260" t="s">
        <v>1164</v>
      </c>
      <c r="BL260">
        <v>9.0256000000000007</v>
      </c>
      <c r="BM260">
        <v>9.0256000000000007</v>
      </c>
      <c r="BN260" t="s">
        <v>1098</v>
      </c>
      <c r="BO260" s="1">
        <v>0.36541666666666667</v>
      </c>
      <c r="BP260" s="3">
        <f t="shared" si="28"/>
        <v>1.0112287780275873</v>
      </c>
      <c r="BQ260" s="3">
        <f t="shared" si="29"/>
        <v>1.0023093345011154</v>
      </c>
    </row>
    <row r="261" spans="1:69" hidden="1" x14ac:dyDescent="0.35">
      <c r="A261">
        <v>259</v>
      </c>
      <c r="B261">
        <v>3245</v>
      </c>
      <c r="D261">
        <v>5</v>
      </c>
      <c r="E261">
        <v>5</v>
      </c>
      <c r="G261">
        <v>16394.400000000001</v>
      </c>
      <c r="I261" t="s">
        <v>182</v>
      </c>
      <c r="L261" t="s">
        <v>1152</v>
      </c>
      <c r="M261">
        <v>9.32</v>
      </c>
      <c r="N261">
        <v>37.9</v>
      </c>
      <c r="O261">
        <v>8.75</v>
      </c>
      <c r="P261" s="3">
        <f t="shared" si="24"/>
        <v>0.93884120171673813</v>
      </c>
      <c r="Q261">
        <v>30.8</v>
      </c>
      <c r="R261" s="3">
        <f t="shared" si="25"/>
        <v>0.81266490765171506</v>
      </c>
      <c r="S261">
        <v>270</v>
      </c>
      <c r="T261">
        <v>9.2349999999999994</v>
      </c>
      <c r="U261">
        <v>38.119999999999997</v>
      </c>
      <c r="V261">
        <v>8.7579999999999991</v>
      </c>
      <c r="W261" s="3">
        <f t="shared" si="26"/>
        <v>0.94834867352463448</v>
      </c>
      <c r="X261">
        <v>30.91</v>
      </c>
      <c r="Y261" s="3">
        <f t="shared" si="27"/>
        <v>0.81086044071353625</v>
      </c>
      <c r="Z261">
        <v>270.7</v>
      </c>
      <c r="AA261">
        <v>76.900000000000006</v>
      </c>
      <c r="AB261">
        <v>24.9</v>
      </c>
      <c r="AC261" t="s">
        <v>64</v>
      </c>
      <c r="AE261" t="s">
        <v>65</v>
      </c>
      <c r="AF261" t="s">
        <v>66</v>
      </c>
      <c r="AG261" s="2">
        <v>44198</v>
      </c>
      <c r="AH261" s="1">
        <v>0.63238425925925923</v>
      </c>
      <c r="AI261" t="s">
        <v>68</v>
      </c>
      <c r="AJ261" t="s">
        <v>69</v>
      </c>
      <c r="AO261">
        <v>7.3380000000000001</v>
      </c>
      <c r="AP261">
        <v>39.14</v>
      </c>
      <c r="AQ261">
        <v>38.4</v>
      </c>
      <c r="AR261">
        <v>1.84</v>
      </c>
      <c r="AS261">
        <v>35.161000000000001</v>
      </c>
      <c r="AT261">
        <v>153.6</v>
      </c>
      <c r="AY261">
        <v>2.36</v>
      </c>
      <c r="AZ261" s="2">
        <v>44229</v>
      </c>
      <c r="BB261" s="2">
        <v>44229</v>
      </c>
      <c r="BD261" t="s">
        <v>68</v>
      </c>
      <c r="BE261" t="s">
        <v>1165</v>
      </c>
      <c r="BF261" t="s">
        <v>1166</v>
      </c>
      <c r="BG261" t="s">
        <v>1167</v>
      </c>
      <c r="BH261">
        <v>0</v>
      </c>
      <c r="BI261">
        <v>1</v>
      </c>
      <c r="BJ261">
        <v>3</v>
      </c>
      <c r="BK261" t="s">
        <v>1168</v>
      </c>
      <c r="BL261">
        <v>8.8620000000000001</v>
      </c>
      <c r="BM261">
        <v>9.0256000000000007</v>
      </c>
      <c r="BN261" t="s">
        <v>1098</v>
      </c>
      <c r="BO261" s="1">
        <v>0.36541666666666667</v>
      </c>
      <c r="BP261" s="3">
        <f t="shared" si="28"/>
        <v>1.010126815685668</v>
      </c>
      <c r="BQ261" s="3">
        <f t="shared" si="29"/>
        <v>0.99777956828061765</v>
      </c>
    </row>
    <row r="262" spans="1:69" hidden="1" x14ac:dyDescent="0.35">
      <c r="A262">
        <v>260</v>
      </c>
      <c r="B262">
        <v>3245</v>
      </c>
      <c r="D262">
        <v>5</v>
      </c>
      <c r="E262">
        <v>5</v>
      </c>
      <c r="G262">
        <v>16394.400000000001</v>
      </c>
      <c r="I262" t="s">
        <v>182</v>
      </c>
      <c r="L262" t="s">
        <v>1104</v>
      </c>
      <c r="M262">
        <v>9.32</v>
      </c>
      <c r="N262">
        <v>37.9</v>
      </c>
      <c r="O262">
        <v>8.75</v>
      </c>
      <c r="P262" s="3">
        <f t="shared" si="24"/>
        <v>0.93884120171673813</v>
      </c>
      <c r="Q262">
        <v>30.8</v>
      </c>
      <c r="R262" s="3">
        <f t="shared" si="25"/>
        <v>0.81266490765171506</v>
      </c>
      <c r="S262">
        <v>270</v>
      </c>
      <c r="T262">
        <v>9.2309999999999999</v>
      </c>
      <c r="U262">
        <v>38.18</v>
      </c>
      <c r="V262">
        <v>8.7650000000000006</v>
      </c>
      <c r="W262" s="3">
        <f t="shared" si="26"/>
        <v>0.94951792871844876</v>
      </c>
      <c r="X262">
        <v>31.18</v>
      </c>
      <c r="Y262" s="3">
        <f t="shared" si="27"/>
        <v>0.81665793609219484</v>
      </c>
      <c r="Z262">
        <v>273.3</v>
      </c>
      <c r="AA262">
        <v>77.5</v>
      </c>
      <c r="AB262">
        <v>24.6</v>
      </c>
      <c r="AC262" t="s">
        <v>64</v>
      </c>
      <c r="AE262" t="s">
        <v>65</v>
      </c>
      <c r="AF262" t="s">
        <v>66</v>
      </c>
      <c r="AG262" t="s">
        <v>1105</v>
      </c>
      <c r="AH262" s="1">
        <v>0.41271990740740738</v>
      </c>
      <c r="AI262" t="s">
        <v>68</v>
      </c>
      <c r="AJ262" t="s">
        <v>69</v>
      </c>
      <c r="AO262">
        <v>7.3780000000000001</v>
      </c>
      <c r="AP262">
        <v>39.44</v>
      </c>
      <c r="AQ262">
        <v>38.4</v>
      </c>
      <c r="AR262">
        <v>1.845</v>
      </c>
      <c r="AS262">
        <v>35.573999999999998</v>
      </c>
      <c r="AT262">
        <v>153.6</v>
      </c>
      <c r="AY262">
        <v>2.36</v>
      </c>
      <c r="AZ262" t="s">
        <v>185</v>
      </c>
      <c r="BB262" t="s">
        <v>185</v>
      </c>
      <c r="BD262" t="s">
        <v>68</v>
      </c>
      <c r="BE262" t="s">
        <v>1169</v>
      </c>
      <c r="BF262" t="s">
        <v>1170</v>
      </c>
      <c r="BG262" t="s">
        <v>1171</v>
      </c>
      <c r="BH262">
        <v>0</v>
      </c>
      <c r="BI262">
        <v>0</v>
      </c>
      <c r="BJ262">
        <v>3</v>
      </c>
      <c r="BK262" t="s">
        <v>1172</v>
      </c>
      <c r="BL262">
        <v>8.8620000000000001</v>
      </c>
      <c r="BM262">
        <v>9.0256000000000007</v>
      </c>
      <c r="BN262" t="s">
        <v>1098</v>
      </c>
      <c r="BO262" s="1">
        <v>0.36541666666666667</v>
      </c>
      <c r="BP262" s="3">
        <f t="shared" si="28"/>
        <v>1.0113722395035363</v>
      </c>
      <c r="BQ262" s="3">
        <f t="shared" si="29"/>
        <v>1.0049134992822786</v>
      </c>
    </row>
    <row r="263" spans="1:69" hidden="1" x14ac:dyDescent="0.35">
      <c r="A263">
        <v>261</v>
      </c>
      <c r="B263">
        <v>3810</v>
      </c>
      <c r="D263">
        <v>25</v>
      </c>
      <c r="E263">
        <v>4</v>
      </c>
      <c r="G263">
        <v>16700</v>
      </c>
      <c r="I263" t="s">
        <v>182</v>
      </c>
      <c r="L263" t="s">
        <v>1173</v>
      </c>
      <c r="M263">
        <v>9.41</v>
      </c>
      <c r="N263">
        <v>38.97</v>
      </c>
      <c r="O263">
        <v>8.84</v>
      </c>
      <c r="P263" s="3">
        <f t="shared" si="24"/>
        <v>0.9394261424017003</v>
      </c>
      <c r="Q263">
        <v>31.67</v>
      </c>
      <c r="R263" s="3">
        <f t="shared" si="25"/>
        <v>0.81267641775724919</v>
      </c>
      <c r="S263">
        <v>280</v>
      </c>
      <c r="T263">
        <v>9.4459999999999997</v>
      </c>
      <c r="U263">
        <v>38.590000000000003</v>
      </c>
      <c r="V263">
        <v>8.9610000000000003</v>
      </c>
      <c r="W263" s="3">
        <f t="shared" si="26"/>
        <v>0.94865551556214278</v>
      </c>
      <c r="X263">
        <v>30.67</v>
      </c>
      <c r="Y263" s="3">
        <f t="shared" si="27"/>
        <v>0.7947654832858253</v>
      </c>
      <c r="Z263">
        <v>274.8</v>
      </c>
      <c r="AA263">
        <v>75.400000000000006</v>
      </c>
      <c r="AB263">
        <v>25</v>
      </c>
      <c r="AC263" t="s">
        <v>64</v>
      </c>
      <c r="AE263" t="s">
        <v>65</v>
      </c>
      <c r="AF263" t="s">
        <v>66</v>
      </c>
      <c r="AG263" s="2">
        <v>44288</v>
      </c>
      <c r="AH263" s="1">
        <v>0.55074074074074075</v>
      </c>
      <c r="AI263" t="s">
        <v>68</v>
      </c>
      <c r="AJ263" t="s">
        <v>69</v>
      </c>
      <c r="AO263">
        <v>7.5780000000000003</v>
      </c>
      <c r="AP263">
        <v>39.65</v>
      </c>
      <c r="AQ263">
        <v>25.6</v>
      </c>
      <c r="AR263">
        <v>1.895</v>
      </c>
      <c r="AS263">
        <v>35.573999999999998</v>
      </c>
      <c r="AT263">
        <v>102.6</v>
      </c>
      <c r="AY263">
        <v>2.36</v>
      </c>
      <c r="AZ263" s="2">
        <v>44410</v>
      </c>
      <c r="BB263" s="2">
        <v>44410</v>
      </c>
      <c r="BD263" t="s">
        <v>68</v>
      </c>
      <c r="BE263" t="s">
        <v>1174</v>
      </c>
      <c r="BF263" t="s">
        <v>1175</v>
      </c>
      <c r="BG263" t="s">
        <v>1176</v>
      </c>
      <c r="BH263">
        <v>0</v>
      </c>
      <c r="BI263">
        <v>1</v>
      </c>
      <c r="BJ263">
        <v>2</v>
      </c>
      <c r="BK263" t="s">
        <v>1177</v>
      </c>
      <c r="BL263">
        <v>8.8620000000000001</v>
      </c>
      <c r="BM263">
        <v>9.0256000000000007</v>
      </c>
      <c r="BN263" t="s">
        <v>1178</v>
      </c>
      <c r="BO263" s="1">
        <v>0.43303240740740739</v>
      </c>
      <c r="BP263" s="3">
        <f t="shared" si="28"/>
        <v>1.0098244798008782</v>
      </c>
      <c r="BQ263" s="3">
        <f t="shared" si="29"/>
        <v>0.97796055837223272</v>
      </c>
    </row>
    <row r="264" spans="1:69" hidden="1" x14ac:dyDescent="0.35">
      <c r="A264">
        <v>262</v>
      </c>
      <c r="B264">
        <v>3810</v>
      </c>
      <c r="D264">
        <v>25</v>
      </c>
      <c r="E264">
        <v>4</v>
      </c>
      <c r="G264">
        <v>16700</v>
      </c>
      <c r="I264" t="s">
        <v>182</v>
      </c>
      <c r="L264" t="s">
        <v>1179</v>
      </c>
      <c r="M264">
        <v>9.41</v>
      </c>
      <c r="N264">
        <v>38.97</v>
      </c>
      <c r="O264">
        <v>8.84</v>
      </c>
      <c r="P264" s="3">
        <f t="shared" si="24"/>
        <v>0.9394261424017003</v>
      </c>
      <c r="Q264">
        <v>31.67</v>
      </c>
      <c r="R264" s="3">
        <f t="shared" si="25"/>
        <v>0.81267641775724919</v>
      </c>
      <c r="S264">
        <v>280</v>
      </c>
      <c r="T264">
        <v>9.4309999999999992</v>
      </c>
      <c r="U264">
        <v>38.65</v>
      </c>
      <c r="V264">
        <v>8.9629999999999992</v>
      </c>
      <c r="W264" s="3">
        <f t="shared" si="26"/>
        <v>0.95037641819531338</v>
      </c>
      <c r="X264">
        <v>30.88</v>
      </c>
      <c r="Y264" s="3">
        <f t="shared" si="27"/>
        <v>0.7989650711513584</v>
      </c>
      <c r="Z264">
        <v>276.8</v>
      </c>
      <c r="AA264">
        <v>75.900000000000006</v>
      </c>
      <c r="AB264">
        <v>25</v>
      </c>
      <c r="AC264" t="s">
        <v>64</v>
      </c>
      <c r="AE264" t="s">
        <v>65</v>
      </c>
      <c r="AF264" t="s">
        <v>66</v>
      </c>
      <c r="AG264" t="s">
        <v>1105</v>
      </c>
      <c r="AH264" s="1">
        <v>0.55585648148148148</v>
      </c>
      <c r="AI264" t="s">
        <v>68</v>
      </c>
      <c r="AJ264" t="s">
        <v>69</v>
      </c>
      <c r="AO264">
        <v>7.5730000000000004</v>
      </c>
      <c r="AP264">
        <v>39.74</v>
      </c>
      <c r="AQ264">
        <v>25.6</v>
      </c>
      <c r="AR264">
        <v>1.895</v>
      </c>
      <c r="AS264">
        <v>35.573999999999998</v>
      </c>
      <c r="AT264">
        <v>102.6</v>
      </c>
      <c r="AY264">
        <v>2.36</v>
      </c>
      <c r="AZ264" t="s">
        <v>184</v>
      </c>
      <c r="BB264" t="s">
        <v>184</v>
      </c>
      <c r="BD264" t="s">
        <v>68</v>
      </c>
      <c r="BE264" t="s">
        <v>1180</v>
      </c>
      <c r="BF264" t="s">
        <v>1181</v>
      </c>
      <c r="BG264" t="s">
        <v>1182</v>
      </c>
      <c r="BH264">
        <v>0</v>
      </c>
      <c r="BI264">
        <v>0</v>
      </c>
      <c r="BJ264">
        <v>2</v>
      </c>
      <c r="BK264" t="s">
        <v>1183</v>
      </c>
      <c r="BL264">
        <v>8.8620000000000001</v>
      </c>
      <c r="BM264">
        <v>9.0256000000000007</v>
      </c>
      <c r="BN264" t="s">
        <v>1178</v>
      </c>
      <c r="BO264" s="1">
        <v>0.43303240740740739</v>
      </c>
      <c r="BP264" s="3">
        <f t="shared" si="28"/>
        <v>1.0116563456128844</v>
      </c>
      <c r="BQ264" s="3">
        <f t="shared" si="29"/>
        <v>0.98312815986007063</v>
      </c>
    </row>
    <row r="265" spans="1:69" hidden="1" x14ac:dyDescent="0.35">
      <c r="A265">
        <v>263</v>
      </c>
      <c r="B265">
        <v>3802</v>
      </c>
      <c r="D265">
        <v>25</v>
      </c>
      <c r="E265">
        <v>4</v>
      </c>
      <c r="G265">
        <v>16700</v>
      </c>
      <c r="I265" t="s">
        <v>182</v>
      </c>
      <c r="L265" t="s">
        <v>1184</v>
      </c>
      <c r="M265">
        <v>9.41</v>
      </c>
      <c r="N265">
        <v>38.97</v>
      </c>
      <c r="O265">
        <v>8.84</v>
      </c>
      <c r="P265" s="3">
        <f t="shared" si="24"/>
        <v>0.9394261424017003</v>
      </c>
      <c r="Q265">
        <v>31.67</v>
      </c>
      <c r="R265" s="3">
        <f t="shared" si="25"/>
        <v>0.81267641775724919</v>
      </c>
      <c r="S265">
        <v>280</v>
      </c>
      <c r="T265">
        <v>9.4459999999999997</v>
      </c>
      <c r="U265">
        <v>38.67</v>
      </c>
      <c r="V265">
        <v>8.9719999999999995</v>
      </c>
      <c r="W265" s="3">
        <f t="shared" si="26"/>
        <v>0.9498200296421766</v>
      </c>
      <c r="X265">
        <v>30.76</v>
      </c>
      <c r="Y265" s="3">
        <f t="shared" si="27"/>
        <v>0.7954486682182571</v>
      </c>
      <c r="Z265">
        <v>276</v>
      </c>
      <c r="AA265">
        <v>75.599999999999994</v>
      </c>
      <c r="AB265">
        <v>24.9</v>
      </c>
      <c r="AC265" t="s">
        <v>64</v>
      </c>
      <c r="AE265" t="s">
        <v>65</v>
      </c>
      <c r="AF265" t="s">
        <v>66</v>
      </c>
      <c r="AG265" t="s">
        <v>1105</v>
      </c>
      <c r="AH265" s="1">
        <v>0.55453703703703705</v>
      </c>
      <c r="AI265" t="s">
        <v>68</v>
      </c>
      <c r="AJ265" t="s">
        <v>69</v>
      </c>
      <c r="AO265">
        <v>7.5730000000000004</v>
      </c>
      <c r="AP265">
        <v>40.430999999999997</v>
      </c>
      <c r="AQ265">
        <v>25.6</v>
      </c>
      <c r="AR265">
        <v>1.895</v>
      </c>
      <c r="AS265">
        <v>35.798999999999999</v>
      </c>
      <c r="AT265">
        <v>102.6</v>
      </c>
      <c r="AY265">
        <v>2.36</v>
      </c>
      <c r="AZ265" t="s">
        <v>184</v>
      </c>
      <c r="BB265" t="s">
        <v>184</v>
      </c>
      <c r="BD265" t="s">
        <v>68</v>
      </c>
      <c r="BE265" t="s">
        <v>1185</v>
      </c>
      <c r="BF265" t="s">
        <v>1186</v>
      </c>
      <c r="BG265" t="s">
        <v>1187</v>
      </c>
      <c r="BH265">
        <v>0</v>
      </c>
      <c r="BI265">
        <v>0</v>
      </c>
      <c r="BJ265">
        <v>1</v>
      </c>
      <c r="BK265" t="s">
        <v>1188</v>
      </c>
      <c r="BL265">
        <v>8.8620000000000001</v>
      </c>
      <c r="BM265">
        <v>9.0256000000000007</v>
      </c>
      <c r="BN265" s="2">
        <v>42774</v>
      </c>
      <c r="BO265" s="1">
        <v>0.44348379629629631</v>
      </c>
      <c r="BP265" s="3">
        <f t="shared" si="28"/>
        <v>1.0110640813272491</v>
      </c>
      <c r="BQ265" s="3">
        <f t="shared" si="29"/>
        <v>0.97880121883376947</v>
      </c>
    </row>
    <row r="266" spans="1:69" hidden="1" x14ac:dyDescent="0.35">
      <c r="A266">
        <v>264</v>
      </c>
      <c r="B266">
        <v>3809</v>
      </c>
      <c r="D266">
        <v>25</v>
      </c>
      <c r="E266">
        <v>4</v>
      </c>
      <c r="G266">
        <v>16700</v>
      </c>
      <c r="I266" t="s">
        <v>182</v>
      </c>
      <c r="L266" t="s">
        <v>1173</v>
      </c>
      <c r="M266">
        <v>9.41</v>
      </c>
      <c r="N266">
        <v>38.97</v>
      </c>
      <c r="O266">
        <v>8.84</v>
      </c>
      <c r="P266" s="3">
        <f t="shared" si="24"/>
        <v>0.9394261424017003</v>
      </c>
      <c r="Q266">
        <v>31.67</v>
      </c>
      <c r="R266" s="3">
        <f t="shared" si="25"/>
        <v>0.81267641775724919</v>
      </c>
      <c r="S266">
        <v>280</v>
      </c>
      <c r="T266">
        <v>9.3879999999999999</v>
      </c>
      <c r="U266">
        <v>38.69</v>
      </c>
      <c r="V266">
        <v>8.907</v>
      </c>
      <c r="W266" s="3">
        <f t="shared" si="26"/>
        <v>0.94876438005965058</v>
      </c>
      <c r="X266">
        <v>30.84</v>
      </c>
      <c r="Y266" s="3">
        <f t="shared" si="27"/>
        <v>0.79710519514086331</v>
      </c>
      <c r="Z266">
        <v>274.7</v>
      </c>
      <c r="AA266">
        <v>75.599999999999994</v>
      </c>
      <c r="AB266">
        <v>24.8</v>
      </c>
      <c r="AC266" t="s">
        <v>64</v>
      </c>
      <c r="AE266" t="s">
        <v>65</v>
      </c>
      <c r="AF266" t="s">
        <v>66</v>
      </c>
      <c r="AG266" s="2">
        <v>44288</v>
      </c>
      <c r="AH266" s="1">
        <v>0.55244212962962957</v>
      </c>
      <c r="AI266" t="s">
        <v>68</v>
      </c>
      <c r="AJ266" t="s">
        <v>69</v>
      </c>
      <c r="AO266">
        <v>7.5780000000000003</v>
      </c>
      <c r="AP266">
        <v>40.078000000000003</v>
      </c>
      <c r="AQ266">
        <v>25.6</v>
      </c>
      <c r="AR266">
        <v>1.895</v>
      </c>
      <c r="AS266">
        <v>35.723999999999997</v>
      </c>
      <c r="AT266">
        <v>102.6</v>
      </c>
      <c r="AY266">
        <v>2.36</v>
      </c>
      <c r="AZ266" s="2">
        <v>44410</v>
      </c>
      <c r="BB266" s="2">
        <v>44410</v>
      </c>
      <c r="BD266" t="s">
        <v>68</v>
      </c>
      <c r="BE266" t="s">
        <v>1189</v>
      </c>
      <c r="BF266" t="s">
        <v>1190</v>
      </c>
      <c r="BG266" t="s">
        <v>1191</v>
      </c>
      <c r="BH266">
        <v>0</v>
      </c>
      <c r="BI266">
        <v>1</v>
      </c>
      <c r="BJ266">
        <v>2</v>
      </c>
      <c r="BK266" t="s">
        <v>1192</v>
      </c>
      <c r="BL266">
        <v>8.8620000000000001</v>
      </c>
      <c r="BM266">
        <v>9.0256000000000007</v>
      </c>
      <c r="BN266" t="s">
        <v>1178</v>
      </c>
      <c r="BO266" s="1">
        <v>0.43040509259259258</v>
      </c>
      <c r="BP266" s="3">
        <f t="shared" si="28"/>
        <v>1.0099403638417774</v>
      </c>
      <c r="BQ266" s="3">
        <f t="shared" si="29"/>
        <v>0.98083957861191795</v>
      </c>
    </row>
    <row r="267" spans="1:69" hidden="1" x14ac:dyDescent="0.35">
      <c r="A267">
        <v>265</v>
      </c>
      <c r="B267">
        <v>3809</v>
      </c>
      <c r="D267">
        <v>25</v>
      </c>
      <c r="E267">
        <v>4</v>
      </c>
      <c r="G267">
        <v>16700</v>
      </c>
      <c r="I267" t="s">
        <v>182</v>
      </c>
      <c r="L267" t="s">
        <v>1179</v>
      </c>
      <c r="M267">
        <v>9.41</v>
      </c>
      <c r="N267">
        <v>38.97</v>
      </c>
      <c r="O267">
        <v>8.84</v>
      </c>
      <c r="P267" s="3">
        <f t="shared" si="24"/>
        <v>0.9394261424017003</v>
      </c>
      <c r="Q267">
        <v>31.67</v>
      </c>
      <c r="R267" s="3">
        <f t="shared" si="25"/>
        <v>0.81267641775724919</v>
      </c>
      <c r="S267">
        <v>280</v>
      </c>
      <c r="T267">
        <v>9.3859999999999992</v>
      </c>
      <c r="U267">
        <v>38.74</v>
      </c>
      <c r="V267">
        <v>8.9220000000000006</v>
      </c>
      <c r="W267" s="3">
        <f t="shared" si="26"/>
        <v>0.9505646707862776</v>
      </c>
      <c r="X267">
        <v>30.98</v>
      </c>
      <c r="Y267" s="3">
        <f t="shared" si="27"/>
        <v>0.79969024264326272</v>
      </c>
      <c r="Z267">
        <v>276.39999999999998</v>
      </c>
      <c r="AA267">
        <v>76</v>
      </c>
      <c r="AB267">
        <v>24.8</v>
      </c>
      <c r="AC267" t="s">
        <v>64</v>
      </c>
      <c r="AE267" t="s">
        <v>65</v>
      </c>
      <c r="AF267" t="s">
        <v>66</v>
      </c>
      <c r="AG267" t="s">
        <v>1105</v>
      </c>
      <c r="AH267" s="1">
        <v>0.54098379629629634</v>
      </c>
      <c r="AI267" t="s">
        <v>68</v>
      </c>
      <c r="AJ267" t="s">
        <v>69</v>
      </c>
      <c r="AO267">
        <v>7.5730000000000004</v>
      </c>
      <c r="AP267">
        <v>40.261000000000003</v>
      </c>
      <c r="AQ267">
        <v>25.6</v>
      </c>
      <c r="AR267">
        <v>1.895</v>
      </c>
      <c r="AS267">
        <v>35.874000000000002</v>
      </c>
      <c r="AT267">
        <v>102.6</v>
      </c>
      <c r="AY267">
        <v>2.36</v>
      </c>
      <c r="AZ267" t="s">
        <v>184</v>
      </c>
      <c r="BB267" t="s">
        <v>184</v>
      </c>
      <c r="BD267" t="s">
        <v>68</v>
      </c>
      <c r="BE267" t="s">
        <v>1193</v>
      </c>
      <c r="BF267" t="s">
        <v>1194</v>
      </c>
      <c r="BG267" t="s">
        <v>1195</v>
      </c>
      <c r="BH267">
        <v>0</v>
      </c>
      <c r="BI267">
        <v>0</v>
      </c>
      <c r="BJ267">
        <v>2</v>
      </c>
      <c r="BK267" t="s">
        <v>1196</v>
      </c>
      <c r="BL267">
        <v>8.8620000000000001</v>
      </c>
      <c r="BM267">
        <v>9.0256000000000007</v>
      </c>
      <c r="BN267" t="s">
        <v>1178</v>
      </c>
      <c r="BO267" s="1">
        <v>0.43040509259259258</v>
      </c>
      <c r="BP267" s="3">
        <f t="shared" si="28"/>
        <v>1.0118567366627684</v>
      </c>
      <c r="BQ267" s="3">
        <f t="shared" si="29"/>
        <v>0.98402048486921212</v>
      </c>
    </row>
    <row r="268" spans="1:69" hidden="1" x14ac:dyDescent="0.35">
      <c r="A268">
        <v>266</v>
      </c>
      <c r="B268">
        <v>3797</v>
      </c>
      <c r="D268">
        <v>25</v>
      </c>
      <c r="E268">
        <v>4</v>
      </c>
      <c r="G268">
        <v>16700</v>
      </c>
      <c r="I268" t="s">
        <v>182</v>
      </c>
      <c r="L268" t="s">
        <v>1197</v>
      </c>
      <c r="M268">
        <v>9.41</v>
      </c>
      <c r="N268">
        <v>38.97</v>
      </c>
      <c r="O268">
        <v>8.84</v>
      </c>
      <c r="P268" s="3">
        <f t="shared" si="24"/>
        <v>0.9394261424017003</v>
      </c>
      <c r="Q268">
        <v>31.67</v>
      </c>
      <c r="R268" s="3">
        <f t="shared" si="25"/>
        <v>0.81267641775724919</v>
      </c>
      <c r="S268">
        <v>280</v>
      </c>
      <c r="T268">
        <v>9.4559999999999995</v>
      </c>
      <c r="U268">
        <v>38.520000000000003</v>
      </c>
      <c r="V268">
        <v>8.9510000000000005</v>
      </c>
      <c r="W268" s="3">
        <f t="shared" si="26"/>
        <v>0.94659475465313037</v>
      </c>
      <c r="X268">
        <v>30.55</v>
      </c>
      <c r="Y268" s="3">
        <f t="shared" si="27"/>
        <v>0.79309449636552432</v>
      </c>
      <c r="Z268">
        <v>273.39999999999998</v>
      </c>
      <c r="AA268">
        <v>75.099999999999994</v>
      </c>
      <c r="AB268">
        <v>25.4</v>
      </c>
      <c r="AC268" t="s">
        <v>64</v>
      </c>
      <c r="AE268" t="s">
        <v>65</v>
      </c>
      <c r="AF268" t="s">
        <v>66</v>
      </c>
      <c r="AG268" s="2">
        <v>44288</v>
      </c>
      <c r="AH268" s="1">
        <v>0.54840277777777779</v>
      </c>
      <c r="AI268" t="s">
        <v>68</v>
      </c>
      <c r="AJ268" t="s">
        <v>69</v>
      </c>
      <c r="AO268">
        <v>7.5780000000000003</v>
      </c>
      <c r="AP268">
        <v>40.265999999999998</v>
      </c>
      <c r="AQ268">
        <v>25.6</v>
      </c>
      <c r="AR268">
        <v>1.895</v>
      </c>
      <c r="AS268">
        <v>35.723999999999997</v>
      </c>
      <c r="AT268">
        <v>102.6</v>
      </c>
      <c r="AY268">
        <v>2.36</v>
      </c>
      <c r="AZ268" s="2">
        <v>44410</v>
      </c>
      <c r="BB268" s="2">
        <v>44410</v>
      </c>
      <c r="BD268" t="s">
        <v>68</v>
      </c>
      <c r="BE268" t="s">
        <v>1198</v>
      </c>
      <c r="BF268" t="s">
        <v>1199</v>
      </c>
      <c r="BG268" t="s">
        <v>1200</v>
      </c>
      <c r="BH268">
        <v>0</v>
      </c>
      <c r="BI268">
        <v>1</v>
      </c>
      <c r="BJ268">
        <v>2</v>
      </c>
      <c r="BK268" t="s">
        <v>1201</v>
      </c>
      <c r="BL268">
        <v>8.8620000000000001</v>
      </c>
      <c r="BM268">
        <v>9.0256000000000007</v>
      </c>
      <c r="BN268" s="2">
        <v>42774</v>
      </c>
      <c r="BO268" s="1">
        <v>0.45600694444444445</v>
      </c>
      <c r="BP268" s="3">
        <f t="shared" si="28"/>
        <v>1.0076308417744295</v>
      </c>
      <c r="BQ268" s="3">
        <f t="shared" si="29"/>
        <v>0.97590440553724289</v>
      </c>
    </row>
    <row r="269" spans="1:69" hidden="1" x14ac:dyDescent="0.35">
      <c r="A269">
        <v>267</v>
      </c>
      <c r="B269">
        <v>3797</v>
      </c>
      <c r="D269">
        <v>25</v>
      </c>
      <c r="E269">
        <v>4</v>
      </c>
      <c r="G269">
        <v>16700</v>
      </c>
      <c r="I269" t="s">
        <v>182</v>
      </c>
      <c r="L269" t="s">
        <v>1184</v>
      </c>
      <c r="M269">
        <v>9.41</v>
      </c>
      <c r="N269">
        <v>38.97</v>
      </c>
      <c r="O269">
        <v>8.84</v>
      </c>
      <c r="P269" s="3">
        <f t="shared" si="24"/>
        <v>0.9394261424017003</v>
      </c>
      <c r="Q269">
        <v>31.67</v>
      </c>
      <c r="R269" s="3">
        <f t="shared" si="25"/>
        <v>0.81267641775724919</v>
      </c>
      <c r="S269">
        <v>280</v>
      </c>
      <c r="T269">
        <v>9.4480000000000004</v>
      </c>
      <c r="U269">
        <v>38.6</v>
      </c>
      <c r="V269">
        <v>8.9629999999999992</v>
      </c>
      <c r="W269" s="3">
        <f t="shared" si="26"/>
        <v>0.94866638441998297</v>
      </c>
      <c r="X269">
        <v>30.76</v>
      </c>
      <c r="Y269" s="3">
        <f t="shared" si="27"/>
        <v>0.79689119170984457</v>
      </c>
      <c r="Z269">
        <v>275.7</v>
      </c>
      <c r="AA269">
        <v>75.599999999999994</v>
      </c>
      <c r="AB269">
        <v>24.9</v>
      </c>
      <c r="AC269" t="s">
        <v>64</v>
      </c>
      <c r="AE269" t="s">
        <v>65</v>
      </c>
      <c r="AF269" t="s">
        <v>66</v>
      </c>
      <c r="AG269" t="s">
        <v>1105</v>
      </c>
      <c r="AH269" s="1">
        <v>0.55039351851851848</v>
      </c>
      <c r="AI269" t="s">
        <v>68</v>
      </c>
      <c r="AJ269" t="s">
        <v>69</v>
      </c>
      <c r="AO269">
        <v>7.5730000000000004</v>
      </c>
      <c r="AP269">
        <v>40.378</v>
      </c>
      <c r="AQ269">
        <v>25.6</v>
      </c>
      <c r="AR269">
        <v>1.895</v>
      </c>
      <c r="AS269">
        <v>35.856999999999999</v>
      </c>
      <c r="AT269">
        <v>102.6</v>
      </c>
      <c r="AY269">
        <v>2.36</v>
      </c>
      <c r="AZ269" t="s">
        <v>184</v>
      </c>
      <c r="BB269" t="s">
        <v>184</v>
      </c>
      <c r="BD269" t="s">
        <v>68</v>
      </c>
      <c r="BE269" t="s">
        <v>1202</v>
      </c>
      <c r="BF269" t="s">
        <v>1203</v>
      </c>
      <c r="BG269" t="s">
        <v>1204</v>
      </c>
      <c r="BH269">
        <v>0</v>
      </c>
      <c r="BI269">
        <v>0</v>
      </c>
      <c r="BJ269">
        <v>2</v>
      </c>
      <c r="BK269" t="s">
        <v>1205</v>
      </c>
      <c r="BL269">
        <v>8.8620000000000001</v>
      </c>
      <c r="BM269">
        <v>9.0256000000000007</v>
      </c>
      <c r="BN269" s="2">
        <v>42774</v>
      </c>
      <c r="BO269" s="1">
        <v>0.45600694444444445</v>
      </c>
      <c r="BP269" s="3">
        <f t="shared" si="28"/>
        <v>1.0098360494787375</v>
      </c>
      <c r="BQ269" s="3">
        <f t="shared" si="29"/>
        <v>0.98057624695082546</v>
      </c>
    </row>
    <row r="270" spans="1:69" hidden="1" x14ac:dyDescent="0.35">
      <c r="A270">
        <v>268</v>
      </c>
      <c r="B270">
        <v>3639</v>
      </c>
      <c r="D270">
        <v>25</v>
      </c>
      <c r="E270">
        <v>4</v>
      </c>
      <c r="G270">
        <v>16700</v>
      </c>
      <c r="I270" t="s">
        <v>182</v>
      </c>
      <c r="L270" t="s">
        <v>1206</v>
      </c>
      <c r="M270">
        <v>9.41</v>
      </c>
      <c r="N270">
        <v>38.97</v>
      </c>
      <c r="O270">
        <v>8.84</v>
      </c>
      <c r="P270" s="3">
        <f t="shared" si="24"/>
        <v>0.9394261424017003</v>
      </c>
      <c r="Q270">
        <v>31.67</v>
      </c>
      <c r="R270" s="3">
        <f t="shared" si="25"/>
        <v>0.81267641775724919</v>
      </c>
      <c r="S270">
        <v>280</v>
      </c>
      <c r="T270">
        <v>9.4550000000000001</v>
      </c>
      <c r="U270">
        <v>38.700000000000003</v>
      </c>
      <c r="V270">
        <v>8.9740000000000002</v>
      </c>
      <c r="W270" s="3">
        <f t="shared" si="26"/>
        <v>0.94912744579587516</v>
      </c>
      <c r="X270">
        <v>30.72</v>
      </c>
      <c r="Y270" s="3">
        <f t="shared" si="27"/>
        <v>0.79379844961240298</v>
      </c>
      <c r="Z270">
        <v>275.7</v>
      </c>
      <c r="AA270">
        <v>75.3</v>
      </c>
      <c r="AB270">
        <v>24.9</v>
      </c>
      <c r="AC270" t="s">
        <v>64</v>
      </c>
      <c r="AE270" t="s">
        <v>65</v>
      </c>
      <c r="AF270" t="s">
        <v>66</v>
      </c>
      <c r="AG270" s="2">
        <v>44288</v>
      </c>
      <c r="AH270" s="1">
        <v>0.55533564814814818</v>
      </c>
      <c r="AI270" t="s">
        <v>68</v>
      </c>
      <c r="AJ270" t="s">
        <v>69</v>
      </c>
      <c r="AO270">
        <v>7.5780000000000003</v>
      </c>
      <c r="AP270">
        <v>40.191000000000003</v>
      </c>
      <c r="AQ270">
        <v>25.6</v>
      </c>
      <c r="AR270">
        <v>1.895</v>
      </c>
      <c r="AS270">
        <v>35.462000000000003</v>
      </c>
      <c r="AT270">
        <v>102.6</v>
      </c>
      <c r="AY270">
        <v>2.36</v>
      </c>
      <c r="AZ270" s="2">
        <v>44410</v>
      </c>
      <c r="BB270" s="2">
        <v>44410</v>
      </c>
      <c r="BD270" t="s">
        <v>68</v>
      </c>
      <c r="BE270" t="s">
        <v>1207</v>
      </c>
      <c r="BF270" t="s">
        <v>1208</v>
      </c>
      <c r="BG270" t="s">
        <v>1209</v>
      </c>
      <c r="BH270">
        <v>0</v>
      </c>
      <c r="BI270">
        <v>0</v>
      </c>
      <c r="BJ270">
        <v>1</v>
      </c>
      <c r="BK270" t="s">
        <v>1210</v>
      </c>
      <c r="BL270">
        <v>8.8620000000000001</v>
      </c>
      <c r="BM270">
        <v>9.0256000000000007</v>
      </c>
      <c r="BN270" t="s">
        <v>1211</v>
      </c>
      <c r="BO270" s="1">
        <v>0.57416666666666671</v>
      </c>
      <c r="BP270" s="3">
        <f t="shared" si="28"/>
        <v>1.0103268399252472</v>
      </c>
      <c r="BQ270" s="3">
        <f t="shared" si="29"/>
        <v>0.97677062145233162</v>
      </c>
    </row>
    <row r="271" spans="1:69" hidden="1" x14ac:dyDescent="0.35">
      <c r="A271">
        <v>269</v>
      </c>
      <c r="B271">
        <v>3798</v>
      </c>
      <c r="D271">
        <v>25</v>
      </c>
      <c r="E271">
        <v>4</v>
      </c>
      <c r="G271">
        <v>16700</v>
      </c>
      <c r="I271" t="s">
        <v>182</v>
      </c>
      <c r="L271" t="s">
        <v>1184</v>
      </c>
      <c r="M271">
        <v>9.41</v>
      </c>
      <c r="N271">
        <v>38.97</v>
      </c>
      <c r="O271">
        <v>8.84</v>
      </c>
      <c r="P271" s="3">
        <f t="shared" si="24"/>
        <v>0.9394261424017003</v>
      </c>
      <c r="Q271">
        <v>31.67</v>
      </c>
      <c r="R271" s="3">
        <f t="shared" si="25"/>
        <v>0.81267641775724919</v>
      </c>
      <c r="S271">
        <v>280</v>
      </c>
      <c r="T271">
        <v>9.4540000000000006</v>
      </c>
      <c r="U271">
        <v>38.619999999999997</v>
      </c>
      <c r="V271">
        <v>8.9469999999999992</v>
      </c>
      <c r="W271" s="3">
        <f t="shared" si="26"/>
        <v>0.94637190607150401</v>
      </c>
      <c r="X271">
        <v>30.66</v>
      </c>
      <c r="Y271" s="3">
        <f t="shared" si="27"/>
        <v>0.79388917659243918</v>
      </c>
      <c r="Z271">
        <v>274.3</v>
      </c>
      <c r="AA271">
        <v>75.099999999999994</v>
      </c>
      <c r="AB271">
        <v>24.9</v>
      </c>
      <c r="AC271" t="s">
        <v>64</v>
      </c>
      <c r="AE271" t="s">
        <v>65</v>
      </c>
      <c r="AF271" t="s">
        <v>66</v>
      </c>
      <c r="AG271" t="s">
        <v>1105</v>
      </c>
      <c r="AH271" s="1">
        <v>0.55244212962962957</v>
      </c>
      <c r="AI271" t="s">
        <v>68</v>
      </c>
      <c r="AJ271" t="s">
        <v>69</v>
      </c>
      <c r="AO271">
        <v>7.5730000000000004</v>
      </c>
      <c r="AP271">
        <v>40.378</v>
      </c>
      <c r="AQ271">
        <v>25.6</v>
      </c>
      <c r="AR271">
        <v>1.895</v>
      </c>
      <c r="AS271">
        <v>35.837000000000003</v>
      </c>
      <c r="AT271">
        <v>102.6</v>
      </c>
      <c r="AY271">
        <v>2.36</v>
      </c>
      <c r="AZ271" t="s">
        <v>184</v>
      </c>
      <c r="BB271" t="s">
        <v>184</v>
      </c>
      <c r="BD271" t="s">
        <v>68</v>
      </c>
      <c r="BE271" t="s">
        <v>1212</v>
      </c>
      <c r="BF271" t="s">
        <v>1213</v>
      </c>
      <c r="BG271" t="s">
        <v>1214</v>
      </c>
      <c r="BH271">
        <v>0</v>
      </c>
      <c r="BI271">
        <v>0</v>
      </c>
      <c r="BJ271">
        <v>1</v>
      </c>
      <c r="BK271" t="s">
        <v>1215</v>
      </c>
      <c r="BL271">
        <v>8.8620000000000001</v>
      </c>
      <c r="BM271">
        <v>9.0256000000000007</v>
      </c>
      <c r="BN271" s="2">
        <v>42774</v>
      </c>
      <c r="BO271" s="1">
        <v>0.45351851851851854</v>
      </c>
      <c r="BP271" s="3">
        <f t="shared" si="28"/>
        <v>1.007393623996929</v>
      </c>
      <c r="BQ271" s="3">
        <f t="shared" si="29"/>
        <v>0.97688226118747568</v>
      </c>
    </row>
    <row r="272" spans="1:69" hidden="1" x14ac:dyDescent="0.35">
      <c r="A272">
        <v>270</v>
      </c>
      <c r="B272">
        <v>3803</v>
      </c>
      <c r="D272">
        <v>25</v>
      </c>
      <c r="E272">
        <v>4</v>
      </c>
      <c r="G272">
        <v>16700</v>
      </c>
      <c r="I272" t="s">
        <v>182</v>
      </c>
      <c r="L272" t="s">
        <v>1184</v>
      </c>
      <c r="M272">
        <v>9.41</v>
      </c>
      <c r="N272">
        <v>38.97</v>
      </c>
      <c r="O272">
        <v>8.84</v>
      </c>
      <c r="P272" s="3">
        <f t="shared" si="24"/>
        <v>0.9394261424017003</v>
      </c>
      <c r="Q272">
        <v>31.67</v>
      </c>
      <c r="R272" s="3">
        <f t="shared" si="25"/>
        <v>0.81267641775724919</v>
      </c>
      <c r="S272">
        <v>280</v>
      </c>
      <c r="T272">
        <v>9.4290000000000003</v>
      </c>
      <c r="U272">
        <v>38.729999999999997</v>
      </c>
      <c r="V272">
        <v>8.8659999999999997</v>
      </c>
      <c r="W272" s="3">
        <f t="shared" si="26"/>
        <v>0.94029059285184002</v>
      </c>
      <c r="X272">
        <v>30.93</v>
      </c>
      <c r="Y272" s="3">
        <f t="shared" si="27"/>
        <v>0.79860573199070495</v>
      </c>
      <c r="Z272">
        <v>274.2</v>
      </c>
      <c r="AA272">
        <v>75.099999999999994</v>
      </c>
      <c r="AB272">
        <v>24.9</v>
      </c>
      <c r="AC272" t="s">
        <v>64</v>
      </c>
      <c r="AE272" t="s">
        <v>65</v>
      </c>
      <c r="AF272" t="s">
        <v>66</v>
      </c>
      <c r="AG272" t="s">
        <v>1105</v>
      </c>
      <c r="AH272" s="1">
        <v>0.5534027777777778</v>
      </c>
      <c r="AI272" t="s">
        <v>68</v>
      </c>
      <c r="AJ272" t="s">
        <v>69</v>
      </c>
      <c r="AO272">
        <v>7.5730000000000004</v>
      </c>
      <c r="AP272">
        <v>40.453000000000003</v>
      </c>
      <c r="AQ272">
        <v>25.6</v>
      </c>
      <c r="AR272">
        <v>1.895</v>
      </c>
      <c r="AS272">
        <v>35.911999999999999</v>
      </c>
      <c r="AT272">
        <v>102.6</v>
      </c>
      <c r="AY272">
        <v>2.36</v>
      </c>
      <c r="AZ272" t="s">
        <v>184</v>
      </c>
      <c r="BB272" t="s">
        <v>184</v>
      </c>
      <c r="BD272" t="s">
        <v>68</v>
      </c>
      <c r="BE272" t="s">
        <v>1216</v>
      </c>
      <c r="BF272" t="s">
        <v>1217</v>
      </c>
      <c r="BG272" t="s">
        <v>1218</v>
      </c>
      <c r="BH272">
        <v>0</v>
      </c>
      <c r="BI272">
        <v>0</v>
      </c>
      <c r="BJ272">
        <v>1</v>
      </c>
      <c r="BK272" t="s">
        <v>1219</v>
      </c>
      <c r="BL272">
        <v>8.8620000000000001</v>
      </c>
      <c r="BM272">
        <v>9.0256000000000007</v>
      </c>
      <c r="BN272" s="2">
        <v>42774</v>
      </c>
      <c r="BO272" s="1">
        <v>0.43409722222222225</v>
      </c>
      <c r="BP272" s="3">
        <f t="shared" si="28"/>
        <v>1.0009201899022415</v>
      </c>
      <c r="BQ272" s="3">
        <f t="shared" si="29"/>
        <v>0.98268599228537323</v>
      </c>
    </row>
    <row r="273" spans="1:69" hidden="1" x14ac:dyDescent="0.35">
      <c r="A273">
        <v>271</v>
      </c>
      <c r="B273">
        <v>3625</v>
      </c>
      <c r="D273">
        <v>25</v>
      </c>
      <c r="E273">
        <v>4</v>
      </c>
      <c r="G273">
        <v>16700</v>
      </c>
      <c r="I273" t="s">
        <v>182</v>
      </c>
      <c r="L273" t="s">
        <v>1220</v>
      </c>
      <c r="M273">
        <v>9.41</v>
      </c>
      <c r="N273">
        <v>38.97</v>
      </c>
      <c r="O273">
        <v>8.84</v>
      </c>
      <c r="P273" s="3">
        <f t="shared" si="24"/>
        <v>0.9394261424017003</v>
      </c>
      <c r="Q273">
        <v>31.67</v>
      </c>
      <c r="R273" s="3">
        <f t="shared" si="25"/>
        <v>0.81267641775724919</v>
      </c>
      <c r="S273">
        <v>280</v>
      </c>
      <c r="T273">
        <v>9.4610000000000003</v>
      </c>
      <c r="U273">
        <v>38.74</v>
      </c>
      <c r="V273">
        <v>8.9730000000000008</v>
      </c>
      <c r="W273" s="3">
        <f t="shared" si="26"/>
        <v>0.94841982877074305</v>
      </c>
      <c r="X273">
        <v>30.79</v>
      </c>
      <c r="Y273" s="3">
        <f t="shared" si="27"/>
        <v>0.79478575116159</v>
      </c>
      <c r="Z273">
        <v>276.3</v>
      </c>
      <c r="AA273">
        <v>75.400000000000006</v>
      </c>
      <c r="AB273">
        <v>24.8</v>
      </c>
      <c r="AC273" t="s">
        <v>64</v>
      </c>
      <c r="AE273" t="s">
        <v>65</v>
      </c>
      <c r="AF273" t="s">
        <v>66</v>
      </c>
      <c r="AG273" s="2">
        <v>44288</v>
      </c>
      <c r="AH273" s="1">
        <v>0.55302083333333329</v>
      </c>
      <c r="AI273" t="s">
        <v>68</v>
      </c>
      <c r="AJ273" t="s">
        <v>69</v>
      </c>
      <c r="AO273">
        <v>7.5780000000000003</v>
      </c>
      <c r="AP273">
        <v>40.491</v>
      </c>
      <c r="AQ273">
        <v>25.6</v>
      </c>
      <c r="AR273">
        <v>1.88</v>
      </c>
      <c r="AS273">
        <v>35.950000000000003</v>
      </c>
      <c r="AT273">
        <v>102.6</v>
      </c>
      <c r="AY273">
        <v>2.36</v>
      </c>
      <c r="AZ273" s="2">
        <v>44410</v>
      </c>
      <c r="BB273" s="2">
        <v>44410</v>
      </c>
      <c r="BD273" t="s">
        <v>68</v>
      </c>
      <c r="BE273" t="s">
        <v>1221</v>
      </c>
      <c r="BF273" t="s">
        <v>1222</v>
      </c>
      <c r="BG273" t="s">
        <v>1223</v>
      </c>
      <c r="BH273">
        <v>0</v>
      </c>
      <c r="BI273">
        <v>1</v>
      </c>
      <c r="BJ273">
        <v>2</v>
      </c>
      <c r="BK273" t="s">
        <v>1224</v>
      </c>
      <c r="BL273">
        <v>8.8620000000000001</v>
      </c>
      <c r="BM273">
        <v>8.8620000000000001</v>
      </c>
      <c r="BN273" t="s">
        <v>1225</v>
      </c>
      <c r="BO273" s="1">
        <v>0.45817129629629627</v>
      </c>
      <c r="BP273" s="3">
        <f t="shared" si="28"/>
        <v>1.0095735960104855</v>
      </c>
      <c r="BQ273" s="3">
        <f t="shared" si="29"/>
        <v>0.97798549803495927</v>
      </c>
    </row>
    <row r="274" spans="1:69" hidden="1" x14ac:dyDescent="0.35">
      <c r="A274">
        <v>272</v>
      </c>
      <c r="B274">
        <v>3625</v>
      </c>
      <c r="D274">
        <v>25</v>
      </c>
      <c r="E274">
        <v>4</v>
      </c>
      <c r="G274">
        <v>16700</v>
      </c>
      <c r="I274" t="s">
        <v>182</v>
      </c>
      <c r="L274" t="s">
        <v>1226</v>
      </c>
      <c r="M274">
        <v>9.41</v>
      </c>
      <c r="N274">
        <v>38.97</v>
      </c>
      <c r="O274">
        <v>8.84</v>
      </c>
      <c r="P274" s="3">
        <f t="shared" si="24"/>
        <v>0.9394261424017003</v>
      </c>
      <c r="Q274">
        <v>31.67</v>
      </c>
      <c r="R274" s="3">
        <f t="shared" si="25"/>
        <v>0.81267641775724919</v>
      </c>
      <c r="S274">
        <v>280</v>
      </c>
      <c r="T274">
        <v>9.4619999999999997</v>
      </c>
      <c r="U274">
        <v>38.79</v>
      </c>
      <c r="V274">
        <v>8.9809999999999999</v>
      </c>
      <c r="W274" s="3">
        <f t="shared" si="26"/>
        <v>0.94916508137814415</v>
      </c>
      <c r="X274">
        <v>30.96</v>
      </c>
      <c r="Y274" s="3">
        <f t="shared" si="27"/>
        <v>0.79814385150812073</v>
      </c>
      <c r="Z274">
        <v>278</v>
      </c>
      <c r="AA274">
        <v>75.8</v>
      </c>
      <c r="AB274">
        <v>24.9</v>
      </c>
      <c r="AC274" t="s">
        <v>64</v>
      </c>
      <c r="AE274" t="s">
        <v>65</v>
      </c>
      <c r="AF274" t="s">
        <v>66</v>
      </c>
      <c r="AG274" t="s">
        <v>1105</v>
      </c>
      <c r="AH274" s="1">
        <v>0.54456018518518523</v>
      </c>
      <c r="AI274" t="s">
        <v>68</v>
      </c>
      <c r="AJ274" t="s">
        <v>69</v>
      </c>
      <c r="AO274">
        <v>7.5730000000000004</v>
      </c>
      <c r="AP274">
        <v>40.527999999999999</v>
      </c>
      <c r="AQ274">
        <v>25.6</v>
      </c>
      <c r="AR274">
        <v>1.895</v>
      </c>
      <c r="AS274">
        <v>356.17500000000001</v>
      </c>
      <c r="AT274">
        <v>102.6</v>
      </c>
      <c r="AY274">
        <v>2.36</v>
      </c>
      <c r="AZ274" t="s">
        <v>184</v>
      </c>
      <c r="BB274" t="s">
        <v>184</v>
      </c>
      <c r="BD274" t="s">
        <v>68</v>
      </c>
      <c r="BE274" t="s">
        <v>1227</v>
      </c>
      <c r="BF274" t="s">
        <v>1228</v>
      </c>
      <c r="BG274" t="s">
        <v>1229</v>
      </c>
      <c r="BH274">
        <v>0</v>
      </c>
      <c r="BI274">
        <v>0</v>
      </c>
      <c r="BJ274">
        <v>2</v>
      </c>
      <c r="BK274" t="s">
        <v>1230</v>
      </c>
      <c r="BL274">
        <v>8.8620000000000001</v>
      </c>
      <c r="BM274">
        <v>8.8620000000000001</v>
      </c>
      <c r="BN274" t="s">
        <v>1225</v>
      </c>
      <c r="BO274" s="1">
        <v>0.45817129629629627</v>
      </c>
      <c r="BP274" s="3">
        <f t="shared" si="28"/>
        <v>1.0103669022362372</v>
      </c>
      <c r="BQ274" s="3">
        <f t="shared" si="29"/>
        <v>0.98211764740358265</v>
      </c>
    </row>
    <row r="275" spans="1:69" hidden="1" x14ac:dyDescent="0.35">
      <c r="A275">
        <v>273</v>
      </c>
      <c r="B275">
        <v>3635</v>
      </c>
      <c r="D275">
        <v>25</v>
      </c>
      <c r="E275">
        <v>4</v>
      </c>
      <c r="G275">
        <v>16700</v>
      </c>
      <c r="I275" t="s">
        <v>182</v>
      </c>
      <c r="L275" t="s">
        <v>1206</v>
      </c>
      <c r="M275">
        <v>9.41</v>
      </c>
      <c r="N275">
        <v>38.97</v>
      </c>
      <c r="O275">
        <v>8.84</v>
      </c>
      <c r="P275" s="3">
        <f t="shared" si="24"/>
        <v>0.9394261424017003</v>
      </c>
      <c r="Q275">
        <v>31.67</v>
      </c>
      <c r="R275" s="3">
        <f t="shared" si="25"/>
        <v>0.81267641775724919</v>
      </c>
      <c r="S275">
        <v>280</v>
      </c>
      <c r="T275">
        <v>9.44</v>
      </c>
      <c r="U275">
        <v>38.6</v>
      </c>
      <c r="V275">
        <v>8.9730000000000008</v>
      </c>
      <c r="W275" s="3">
        <f t="shared" si="26"/>
        <v>0.95052966101694925</v>
      </c>
      <c r="X275">
        <v>30.79</v>
      </c>
      <c r="Y275" s="3">
        <f t="shared" si="27"/>
        <v>0.79766839378238341</v>
      </c>
      <c r="Z275">
        <v>276.2</v>
      </c>
      <c r="AA275">
        <v>75.8</v>
      </c>
      <c r="AB275">
        <v>24.8</v>
      </c>
      <c r="AC275" t="s">
        <v>64</v>
      </c>
      <c r="AE275" t="s">
        <v>65</v>
      </c>
      <c r="AF275" t="s">
        <v>66</v>
      </c>
      <c r="AG275" s="2">
        <v>44288</v>
      </c>
      <c r="AH275" s="1">
        <v>0.55420138888888892</v>
      </c>
      <c r="AI275" t="s">
        <v>68</v>
      </c>
      <c r="AJ275" t="s">
        <v>69</v>
      </c>
      <c r="AO275">
        <v>7.5780000000000003</v>
      </c>
      <c r="AP275">
        <v>40.216000000000001</v>
      </c>
      <c r="AQ275">
        <v>25.6</v>
      </c>
      <c r="AR275">
        <v>1.9</v>
      </c>
      <c r="AS275">
        <v>35.874000000000002</v>
      </c>
      <c r="AT275">
        <v>102.6</v>
      </c>
      <c r="AY275">
        <v>2.36</v>
      </c>
      <c r="AZ275" s="2">
        <v>44410</v>
      </c>
      <c r="BB275" s="2">
        <v>44410</v>
      </c>
      <c r="BD275" t="s">
        <v>68</v>
      </c>
      <c r="BE275" t="s">
        <v>1231</v>
      </c>
      <c r="BF275" t="s">
        <v>1232</v>
      </c>
      <c r="BG275" t="s">
        <v>1233</v>
      </c>
      <c r="BH275">
        <v>0</v>
      </c>
      <c r="BI275">
        <v>1</v>
      </c>
      <c r="BJ275">
        <v>2</v>
      </c>
      <c r="BK275" t="s">
        <v>1234</v>
      </c>
      <c r="BL275">
        <v>8.8620000000000001</v>
      </c>
      <c r="BM275">
        <v>9.0256000000000007</v>
      </c>
      <c r="BN275" t="s">
        <v>1211</v>
      </c>
      <c r="BO275" s="1">
        <v>0.5841319444444445</v>
      </c>
      <c r="BP275" s="3">
        <f t="shared" si="28"/>
        <v>1.0118194694761868</v>
      </c>
      <c r="BQ275" s="3">
        <f t="shared" si="29"/>
        <v>0.98153259569622608</v>
      </c>
    </row>
    <row r="276" spans="1:69" hidden="1" x14ac:dyDescent="0.35">
      <c r="A276">
        <v>274</v>
      </c>
      <c r="B276">
        <v>3635</v>
      </c>
      <c r="D276">
        <v>25</v>
      </c>
      <c r="E276">
        <v>4</v>
      </c>
      <c r="G276">
        <v>16700</v>
      </c>
      <c r="I276" t="s">
        <v>182</v>
      </c>
      <c r="L276" t="s">
        <v>1235</v>
      </c>
      <c r="M276">
        <v>9.41</v>
      </c>
      <c r="N276">
        <v>38.97</v>
      </c>
      <c r="O276">
        <v>8.84</v>
      </c>
      <c r="P276" s="3">
        <f t="shared" si="24"/>
        <v>0.9394261424017003</v>
      </c>
      <c r="Q276">
        <v>31.67</v>
      </c>
      <c r="R276" s="3">
        <f t="shared" si="25"/>
        <v>0.81267641775724919</v>
      </c>
      <c r="S276">
        <v>280</v>
      </c>
      <c r="T276">
        <v>9.4269999999999996</v>
      </c>
      <c r="U276">
        <v>38.65</v>
      </c>
      <c r="V276">
        <v>8.9710000000000001</v>
      </c>
      <c r="W276" s="3">
        <f t="shared" si="26"/>
        <v>0.95162830168664481</v>
      </c>
      <c r="X276">
        <v>30.97</v>
      </c>
      <c r="Y276" s="3">
        <f t="shared" si="27"/>
        <v>0.80129366106080202</v>
      </c>
      <c r="Z276">
        <v>277.8</v>
      </c>
      <c r="AA276">
        <v>76.3</v>
      </c>
      <c r="AB276">
        <v>24.9</v>
      </c>
      <c r="AC276" t="s">
        <v>64</v>
      </c>
      <c r="AE276" t="s">
        <v>65</v>
      </c>
      <c r="AF276" t="s">
        <v>66</v>
      </c>
      <c r="AG276" t="s">
        <v>1105</v>
      </c>
      <c r="AH276" s="1">
        <v>0.54553240740740738</v>
      </c>
      <c r="AI276" t="s">
        <v>68</v>
      </c>
      <c r="AJ276" t="s">
        <v>69</v>
      </c>
      <c r="AO276">
        <v>7.5730000000000004</v>
      </c>
      <c r="AP276">
        <v>40.228000000000002</v>
      </c>
      <c r="AQ276">
        <v>25.6</v>
      </c>
      <c r="AR276">
        <v>1.895</v>
      </c>
      <c r="AS276">
        <v>35.874000000000002</v>
      </c>
      <c r="AT276">
        <v>102.6</v>
      </c>
      <c r="AY276">
        <v>2.36</v>
      </c>
      <c r="AZ276" t="s">
        <v>184</v>
      </c>
      <c r="BB276" t="s">
        <v>184</v>
      </c>
      <c r="BD276" t="s">
        <v>68</v>
      </c>
      <c r="BE276" t="s">
        <v>1236</v>
      </c>
      <c r="BF276" t="s">
        <v>1237</v>
      </c>
      <c r="BG276" t="s">
        <v>1238</v>
      </c>
      <c r="BH276">
        <v>0</v>
      </c>
      <c r="BI276">
        <v>0</v>
      </c>
      <c r="BJ276">
        <v>2</v>
      </c>
      <c r="BK276" t="s">
        <v>1239</v>
      </c>
      <c r="BL276">
        <v>8.8620000000000001</v>
      </c>
      <c r="BM276">
        <v>9.0256000000000007</v>
      </c>
      <c r="BN276" t="s">
        <v>1211</v>
      </c>
      <c r="BO276" s="1">
        <v>0.5841319444444445</v>
      </c>
      <c r="BP276" s="3">
        <f t="shared" si="28"/>
        <v>1.0129889500985665</v>
      </c>
      <c r="BQ276" s="3">
        <f t="shared" si="29"/>
        <v>0.9859934945228751</v>
      </c>
    </row>
    <row r="277" spans="1:69" hidden="1" x14ac:dyDescent="0.35">
      <c r="A277">
        <v>275</v>
      </c>
      <c r="B277">
        <v>3799</v>
      </c>
      <c r="D277">
        <v>25</v>
      </c>
      <c r="E277">
        <v>4</v>
      </c>
      <c r="G277">
        <v>16700</v>
      </c>
      <c r="I277" t="s">
        <v>182</v>
      </c>
      <c r="L277" t="s">
        <v>1184</v>
      </c>
      <c r="M277">
        <v>9.41</v>
      </c>
      <c r="N277">
        <v>38.97</v>
      </c>
      <c r="O277">
        <v>8.84</v>
      </c>
      <c r="P277" s="3">
        <f t="shared" si="24"/>
        <v>0.9394261424017003</v>
      </c>
      <c r="Q277">
        <v>31.67</v>
      </c>
      <c r="R277" s="3">
        <f t="shared" si="25"/>
        <v>0.81267641775724919</v>
      </c>
      <c r="S277">
        <v>280</v>
      </c>
      <c r="T277">
        <v>9.4420000000000002</v>
      </c>
      <c r="U277">
        <v>38.69</v>
      </c>
      <c r="V277">
        <v>8.9640000000000004</v>
      </c>
      <c r="W277" s="3">
        <f t="shared" si="26"/>
        <v>0.94937513238720617</v>
      </c>
      <c r="X277">
        <v>30.75</v>
      </c>
      <c r="Y277" s="3">
        <f t="shared" si="27"/>
        <v>0.79477901266477136</v>
      </c>
      <c r="Z277">
        <v>275.7</v>
      </c>
      <c r="AA277">
        <v>75.5</v>
      </c>
      <c r="AB277">
        <v>24.9</v>
      </c>
      <c r="AC277" t="s">
        <v>64</v>
      </c>
      <c r="AE277" t="s">
        <v>65</v>
      </c>
      <c r="AF277" t="s">
        <v>66</v>
      </c>
      <c r="AG277" t="s">
        <v>1105</v>
      </c>
      <c r="AH277" s="1">
        <v>0.55142361111111116</v>
      </c>
      <c r="AI277" t="s">
        <v>68</v>
      </c>
      <c r="AJ277" t="s">
        <v>69</v>
      </c>
      <c r="AO277">
        <v>7.5730000000000004</v>
      </c>
      <c r="AP277">
        <v>40.527999999999999</v>
      </c>
      <c r="AQ277">
        <v>25.6</v>
      </c>
      <c r="AR277">
        <v>1.895</v>
      </c>
      <c r="AS277">
        <v>35.911999999999999</v>
      </c>
      <c r="AT277">
        <v>102.6</v>
      </c>
      <c r="AY277">
        <v>2.36</v>
      </c>
      <c r="AZ277" t="s">
        <v>184</v>
      </c>
      <c r="BB277" t="s">
        <v>184</v>
      </c>
      <c r="BD277" t="s">
        <v>68</v>
      </c>
      <c r="BE277" t="s">
        <v>1240</v>
      </c>
      <c r="BF277" t="s">
        <v>1241</v>
      </c>
      <c r="BG277" t="s">
        <v>1242</v>
      </c>
      <c r="BH277">
        <v>0</v>
      </c>
      <c r="BI277">
        <v>0</v>
      </c>
      <c r="BJ277">
        <v>1</v>
      </c>
      <c r="BK277" t="s">
        <v>1243</v>
      </c>
      <c r="BL277">
        <v>8.8620000000000001</v>
      </c>
      <c r="BM277">
        <v>9.0256000000000007</v>
      </c>
      <c r="BN277" s="2">
        <v>42774</v>
      </c>
      <c r="BO277" s="1">
        <v>0.45105324074074077</v>
      </c>
      <c r="BP277" s="3">
        <f t="shared" si="28"/>
        <v>1.0105904972583268</v>
      </c>
      <c r="BQ277" s="3">
        <f t="shared" si="29"/>
        <v>0.97797720630079377</v>
      </c>
    </row>
    <row r="278" spans="1:69" hidden="1" x14ac:dyDescent="0.35">
      <c r="A278">
        <v>276</v>
      </c>
      <c r="B278">
        <v>3626</v>
      </c>
      <c r="D278">
        <v>25</v>
      </c>
      <c r="E278">
        <v>4</v>
      </c>
      <c r="G278">
        <v>16700</v>
      </c>
      <c r="I278" t="s">
        <v>182</v>
      </c>
      <c r="L278" t="s">
        <v>1206</v>
      </c>
      <c r="M278">
        <v>9.41</v>
      </c>
      <c r="N278">
        <v>38.97</v>
      </c>
      <c r="O278">
        <v>8.84</v>
      </c>
      <c r="P278" s="3">
        <f t="shared" si="24"/>
        <v>0.9394261424017003</v>
      </c>
      <c r="Q278">
        <v>31.67</v>
      </c>
      <c r="R278" s="3">
        <f t="shared" si="25"/>
        <v>0.81267641775724919</v>
      </c>
      <c r="S278">
        <v>280</v>
      </c>
      <c r="T278">
        <v>9.4380000000000006</v>
      </c>
      <c r="U278">
        <v>38.75</v>
      </c>
      <c r="V278">
        <v>8.9689999999999994</v>
      </c>
      <c r="W278" s="3">
        <f t="shared" si="26"/>
        <v>0.95030726848908653</v>
      </c>
      <c r="X278">
        <v>30.88</v>
      </c>
      <c r="Y278" s="3">
        <f t="shared" si="27"/>
        <v>0.79690322580645157</v>
      </c>
      <c r="Z278">
        <v>277</v>
      </c>
      <c r="AA278">
        <v>75.7</v>
      </c>
      <c r="AB278">
        <v>24.8</v>
      </c>
      <c r="AC278" t="s">
        <v>64</v>
      </c>
      <c r="AE278" t="s">
        <v>65</v>
      </c>
      <c r="AF278" t="s">
        <v>66</v>
      </c>
      <c r="AG278" s="2">
        <v>44288</v>
      </c>
      <c r="AH278" s="1">
        <v>0.5536226851851852</v>
      </c>
      <c r="AI278" t="s">
        <v>68</v>
      </c>
      <c r="AJ278" t="s">
        <v>69</v>
      </c>
      <c r="AO278">
        <v>7.5730000000000004</v>
      </c>
      <c r="AP278">
        <v>40.578000000000003</v>
      </c>
      <c r="AQ278">
        <v>25.6</v>
      </c>
      <c r="AR278">
        <v>1.895</v>
      </c>
      <c r="AS278">
        <v>35.987000000000002</v>
      </c>
      <c r="AT278">
        <v>102.6</v>
      </c>
      <c r="AY278">
        <v>2.36</v>
      </c>
      <c r="AZ278" s="2">
        <v>44410</v>
      </c>
      <c r="BB278" s="2">
        <v>44410</v>
      </c>
      <c r="BD278" t="s">
        <v>68</v>
      </c>
      <c r="BE278" t="s">
        <v>1244</v>
      </c>
      <c r="BF278" t="s">
        <v>1245</v>
      </c>
      <c r="BG278" t="s">
        <v>1246</v>
      </c>
      <c r="BH278">
        <v>0</v>
      </c>
      <c r="BI278">
        <v>1</v>
      </c>
      <c r="BJ278">
        <v>2</v>
      </c>
      <c r="BK278" t="s">
        <v>1247</v>
      </c>
      <c r="BL278">
        <v>8.8620000000000001</v>
      </c>
      <c r="BM278">
        <v>9.0256000000000007</v>
      </c>
      <c r="BN278" t="s">
        <v>1211</v>
      </c>
      <c r="BO278" s="1">
        <v>0.61168981481481477</v>
      </c>
      <c r="BP278" s="3">
        <f t="shared" si="28"/>
        <v>1.0115827371586317</v>
      </c>
      <c r="BQ278" s="3">
        <f t="shared" si="29"/>
        <v>0.98059105493139931</v>
      </c>
    </row>
    <row r="279" spans="1:69" hidden="1" x14ac:dyDescent="0.35">
      <c r="A279">
        <v>277</v>
      </c>
      <c r="B279">
        <v>3626</v>
      </c>
      <c r="D279">
        <v>25</v>
      </c>
      <c r="E279">
        <v>4</v>
      </c>
      <c r="G279">
        <v>16700</v>
      </c>
      <c r="I279" t="s">
        <v>182</v>
      </c>
      <c r="L279" t="s">
        <v>1235</v>
      </c>
      <c r="M279">
        <v>9.41</v>
      </c>
      <c r="N279">
        <v>38.97</v>
      </c>
      <c r="O279">
        <v>8.84</v>
      </c>
      <c r="P279" s="3">
        <f t="shared" si="24"/>
        <v>0.9394261424017003</v>
      </c>
      <c r="Q279">
        <v>31.67</v>
      </c>
      <c r="R279" s="3">
        <f t="shared" si="25"/>
        <v>0.81267641775724919</v>
      </c>
      <c r="S279">
        <v>280</v>
      </c>
      <c r="T279">
        <v>9.423</v>
      </c>
      <c r="U279">
        <v>38.79</v>
      </c>
      <c r="V279">
        <v>8.9649999999999999</v>
      </c>
      <c r="W279" s="3">
        <f t="shared" si="26"/>
        <v>0.95139552159609464</v>
      </c>
      <c r="X279">
        <v>31.03</v>
      </c>
      <c r="Y279" s="3">
        <f t="shared" si="27"/>
        <v>0.79994844031967005</v>
      </c>
      <c r="Z279">
        <v>278.2</v>
      </c>
      <c r="AA279">
        <v>76.099999999999994</v>
      </c>
      <c r="AB279">
        <v>25</v>
      </c>
      <c r="AC279" t="s">
        <v>64</v>
      </c>
      <c r="AE279" t="s">
        <v>65</v>
      </c>
      <c r="AF279" t="s">
        <v>66</v>
      </c>
      <c r="AG279" t="s">
        <v>1105</v>
      </c>
      <c r="AH279" s="1">
        <v>0.54331018518518515</v>
      </c>
      <c r="AI279" t="s">
        <v>68</v>
      </c>
      <c r="AJ279" t="s">
        <v>69</v>
      </c>
      <c r="AO279">
        <v>7.5730000000000004</v>
      </c>
      <c r="AP279">
        <v>40.378</v>
      </c>
      <c r="AQ279">
        <v>25.6</v>
      </c>
      <c r="AR279">
        <v>1.895</v>
      </c>
      <c r="AS279">
        <v>35.911999999999999</v>
      </c>
      <c r="AT279">
        <v>102.6</v>
      </c>
      <c r="AY279">
        <v>2.36</v>
      </c>
      <c r="AZ279" t="s">
        <v>184</v>
      </c>
      <c r="BB279" t="s">
        <v>184</v>
      </c>
      <c r="BD279" t="s">
        <v>68</v>
      </c>
      <c r="BE279" t="s">
        <v>1248</v>
      </c>
      <c r="BF279" t="s">
        <v>1249</v>
      </c>
      <c r="BG279" t="s">
        <v>1250</v>
      </c>
      <c r="BH279">
        <v>0</v>
      </c>
      <c r="BI279">
        <v>0</v>
      </c>
      <c r="BJ279">
        <v>2</v>
      </c>
      <c r="BK279" t="s">
        <v>1251</v>
      </c>
      <c r="BL279">
        <v>8.8620000000000001</v>
      </c>
      <c r="BM279">
        <v>9.0256000000000007</v>
      </c>
      <c r="BN279" t="s">
        <v>1211</v>
      </c>
      <c r="BO279" s="1">
        <v>0.61168981481481477</v>
      </c>
      <c r="BP279" s="3">
        <f t="shared" si="28"/>
        <v>1.012741160432042</v>
      </c>
      <c r="BQ279" s="3">
        <f t="shared" si="29"/>
        <v>0.98433819763996022</v>
      </c>
    </row>
    <row r="280" spans="1:69" hidden="1" x14ac:dyDescent="0.35">
      <c r="A280">
        <v>278</v>
      </c>
      <c r="B280">
        <v>3640</v>
      </c>
      <c r="D280">
        <v>25</v>
      </c>
      <c r="E280">
        <v>4</v>
      </c>
      <c r="G280">
        <v>16700</v>
      </c>
      <c r="I280" t="s">
        <v>182</v>
      </c>
      <c r="L280" t="s">
        <v>1206</v>
      </c>
      <c r="M280">
        <v>9.41</v>
      </c>
      <c r="N280">
        <v>38.97</v>
      </c>
      <c r="O280">
        <v>8.84</v>
      </c>
      <c r="P280" s="3">
        <f t="shared" si="24"/>
        <v>0.9394261424017003</v>
      </c>
      <c r="Q280">
        <v>31.67</v>
      </c>
      <c r="R280" s="3">
        <f t="shared" si="25"/>
        <v>0.81267641775724919</v>
      </c>
      <c r="S280">
        <v>280</v>
      </c>
      <c r="T280">
        <v>9.4510000000000005</v>
      </c>
      <c r="U280">
        <v>38.700000000000003</v>
      </c>
      <c r="V280">
        <v>8.9659999999999993</v>
      </c>
      <c r="W280" s="3">
        <f t="shared" si="26"/>
        <v>0.94868267908157855</v>
      </c>
      <c r="X280">
        <v>30.79</v>
      </c>
      <c r="Y280" s="3">
        <f t="shared" si="27"/>
        <v>0.79560723514211873</v>
      </c>
      <c r="Z280">
        <v>276.10000000000002</v>
      </c>
      <c r="AA280">
        <v>75.5</v>
      </c>
      <c r="AB280">
        <v>24.8</v>
      </c>
      <c r="AC280" t="s">
        <v>64</v>
      </c>
      <c r="AE280" t="s">
        <v>65</v>
      </c>
      <c r="AF280" t="s">
        <v>66</v>
      </c>
      <c r="AG280" s="2">
        <v>44288</v>
      </c>
      <c r="AH280" s="1">
        <v>0.55479166666666668</v>
      </c>
      <c r="AI280" t="s">
        <v>68</v>
      </c>
      <c r="AJ280" t="s">
        <v>69</v>
      </c>
      <c r="AO280">
        <v>7.5730000000000004</v>
      </c>
      <c r="AP280">
        <v>40.159999999999997</v>
      </c>
      <c r="AQ280">
        <v>25.6</v>
      </c>
      <c r="AR280">
        <v>1.895</v>
      </c>
      <c r="AS280">
        <v>35.950000000000003</v>
      </c>
      <c r="AT280">
        <v>102.6</v>
      </c>
      <c r="AY280">
        <v>2.36</v>
      </c>
      <c r="AZ280" s="2">
        <v>44410</v>
      </c>
      <c r="BB280" s="2">
        <v>44410</v>
      </c>
      <c r="BD280" t="s">
        <v>68</v>
      </c>
      <c r="BE280" t="s">
        <v>1252</v>
      </c>
      <c r="BF280" t="s">
        <v>1253</v>
      </c>
      <c r="BG280" t="s">
        <v>1254</v>
      </c>
      <c r="BH280">
        <v>0</v>
      </c>
      <c r="BI280">
        <v>1</v>
      </c>
      <c r="BJ280">
        <v>2</v>
      </c>
      <c r="BK280" t="s">
        <v>1255</v>
      </c>
      <c r="BL280">
        <v>8.8620000000000001</v>
      </c>
      <c r="BM280">
        <v>9.0256000000000007</v>
      </c>
      <c r="BN280" t="s">
        <v>1211</v>
      </c>
      <c r="BO280" s="1">
        <v>0.57126157407407407</v>
      </c>
      <c r="BP280" s="3">
        <f t="shared" si="28"/>
        <v>1.0098533948142143</v>
      </c>
      <c r="BQ280" s="3">
        <f t="shared" si="29"/>
        <v>0.97899633575902645</v>
      </c>
    </row>
    <row r="281" spans="1:69" hidden="1" x14ac:dyDescent="0.35">
      <c r="A281">
        <v>279</v>
      </c>
      <c r="B281">
        <v>3640</v>
      </c>
      <c r="D281">
        <v>25</v>
      </c>
      <c r="E281">
        <v>4</v>
      </c>
      <c r="G281">
        <v>16700</v>
      </c>
      <c r="I281" t="s">
        <v>182</v>
      </c>
      <c r="L281" t="s">
        <v>1235</v>
      </c>
      <c r="M281">
        <v>9.41</v>
      </c>
      <c r="N281">
        <v>38.97</v>
      </c>
      <c r="O281">
        <v>8.84</v>
      </c>
      <c r="P281" s="3">
        <f t="shared" si="24"/>
        <v>0.9394261424017003</v>
      </c>
      <c r="Q281">
        <v>31.67</v>
      </c>
      <c r="R281" s="3">
        <f t="shared" si="25"/>
        <v>0.81267641775724919</v>
      </c>
      <c r="S281">
        <v>280</v>
      </c>
      <c r="T281">
        <v>9.4380000000000006</v>
      </c>
      <c r="U281">
        <v>38.74</v>
      </c>
      <c r="V281">
        <v>8.9649999999999999</v>
      </c>
      <c r="W281" s="3">
        <f t="shared" si="26"/>
        <v>0.94988344988344986</v>
      </c>
      <c r="X281">
        <v>30.96</v>
      </c>
      <c r="Y281" s="3">
        <f t="shared" si="27"/>
        <v>0.79917398038203402</v>
      </c>
      <c r="Z281">
        <v>277.60000000000002</v>
      </c>
      <c r="AA281">
        <v>75.900000000000006</v>
      </c>
      <c r="AB281">
        <v>24.9</v>
      </c>
      <c r="AC281" t="s">
        <v>64</v>
      </c>
      <c r="AE281" t="s">
        <v>65</v>
      </c>
      <c r="AF281" t="s">
        <v>66</v>
      </c>
      <c r="AG281" t="s">
        <v>1105</v>
      </c>
      <c r="AH281" s="1">
        <v>0.54770833333333335</v>
      </c>
      <c r="AI281" t="s">
        <v>68</v>
      </c>
      <c r="AJ281" t="s">
        <v>69</v>
      </c>
      <c r="AO281">
        <v>7.5730000000000004</v>
      </c>
      <c r="AP281">
        <v>40.527999999999999</v>
      </c>
      <c r="AQ281">
        <v>25.6</v>
      </c>
      <c r="AR281">
        <v>1.895</v>
      </c>
      <c r="AS281">
        <v>35.723999999999997</v>
      </c>
      <c r="AT281">
        <v>102.6</v>
      </c>
      <c r="AY281">
        <v>2.36</v>
      </c>
      <c r="AZ281" t="s">
        <v>184</v>
      </c>
      <c r="BB281" t="s">
        <v>184</v>
      </c>
      <c r="BD281" t="s">
        <v>68</v>
      </c>
      <c r="BE281" t="s">
        <v>1256</v>
      </c>
      <c r="BF281" t="s">
        <v>1257</v>
      </c>
      <c r="BG281" t="s">
        <v>1258</v>
      </c>
      <c r="BH281">
        <v>0</v>
      </c>
      <c r="BI281">
        <v>0</v>
      </c>
      <c r="BJ281">
        <v>2</v>
      </c>
      <c r="BK281" t="s">
        <v>1259</v>
      </c>
      <c r="BL281">
        <v>8.8620000000000001</v>
      </c>
      <c r="BM281">
        <v>9.0256000000000007</v>
      </c>
      <c r="BN281" t="s">
        <v>1211</v>
      </c>
      <c r="BO281" s="1">
        <v>0.57126157407407407</v>
      </c>
      <c r="BP281" s="3">
        <f t="shared" si="28"/>
        <v>1.0111315908827221</v>
      </c>
      <c r="BQ281" s="3">
        <f t="shared" si="29"/>
        <v>0.98338522309718546</v>
      </c>
    </row>
    <row r="282" spans="1:69" hidden="1" x14ac:dyDescent="0.35">
      <c r="A282">
        <v>280</v>
      </c>
      <c r="B282">
        <v>3735</v>
      </c>
      <c r="D282">
        <v>25</v>
      </c>
      <c r="E282">
        <v>3</v>
      </c>
      <c r="G282">
        <v>16683.3</v>
      </c>
      <c r="I282" t="s">
        <v>62</v>
      </c>
      <c r="L282" t="s">
        <v>1206</v>
      </c>
      <c r="M282">
        <v>9.77</v>
      </c>
      <c r="N282">
        <v>39.76</v>
      </c>
      <c r="O282">
        <v>9.26</v>
      </c>
      <c r="P282" s="3">
        <f t="shared" si="24"/>
        <v>0.94779938587512791</v>
      </c>
      <c r="Q282">
        <v>32.409999999999997</v>
      </c>
      <c r="R282" s="3">
        <f t="shared" si="25"/>
        <v>0.8151408450704225</v>
      </c>
      <c r="S282">
        <v>300</v>
      </c>
      <c r="T282">
        <v>9.5969999999999995</v>
      </c>
      <c r="U282">
        <v>39.200000000000003</v>
      </c>
      <c r="V282">
        <v>9.1349999999999998</v>
      </c>
      <c r="W282" s="3">
        <f t="shared" si="26"/>
        <v>0.95185995623632391</v>
      </c>
      <c r="X282">
        <v>31.63</v>
      </c>
      <c r="Y282" s="3">
        <f t="shared" si="27"/>
        <v>0.80688775510204069</v>
      </c>
      <c r="Z282">
        <v>288.89999999999998</v>
      </c>
      <c r="AA282">
        <v>76.8</v>
      </c>
      <c r="AB282">
        <v>25.1</v>
      </c>
      <c r="AC282" t="s">
        <v>64</v>
      </c>
      <c r="AE282" t="s">
        <v>65</v>
      </c>
      <c r="AF282" t="s">
        <v>66</v>
      </c>
      <c r="AG282" s="2">
        <v>44441</v>
      </c>
      <c r="AH282" s="1">
        <v>0.40180555555555558</v>
      </c>
      <c r="AI282" t="s">
        <v>68</v>
      </c>
      <c r="AJ282" t="s">
        <v>69</v>
      </c>
      <c r="AO282">
        <v>7.5780000000000003</v>
      </c>
      <c r="AP282">
        <v>40.094000000000001</v>
      </c>
      <c r="AQ282">
        <v>12.8</v>
      </c>
      <c r="AR282">
        <v>1.895</v>
      </c>
      <c r="AS282">
        <v>36.774999999999999</v>
      </c>
      <c r="AT282">
        <v>51.2</v>
      </c>
      <c r="AY282">
        <v>2.36</v>
      </c>
      <c r="AZ282" s="2">
        <v>44410</v>
      </c>
      <c r="BB282" s="2">
        <v>44410</v>
      </c>
      <c r="BD282" t="s">
        <v>68</v>
      </c>
      <c r="BE282" t="s">
        <v>1260</v>
      </c>
      <c r="BF282" t="s">
        <v>1261</v>
      </c>
      <c r="BG282" t="s">
        <v>1262</v>
      </c>
      <c r="BH282">
        <v>0</v>
      </c>
      <c r="BI282">
        <v>1</v>
      </c>
      <c r="BJ282">
        <v>2</v>
      </c>
      <c r="BK282" t="s">
        <v>1263</v>
      </c>
      <c r="BL282">
        <v>8.8620000000000001</v>
      </c>
      <c r="BM282">
        <v>9.0256000000000007</v>
      </c>
      <c r="BN282" s="2">
        <v>42743</v>
      </c>
      <c r="BO282" s="1">
        <v>0.40202546296296299</v>
      </c>
      <c r="BP282" s="3">
        <f t="shared" si="28"/>
        <v>1.0042842086856247</v>
      </c>
      <c r="BQ282" s="3">
        <f t="shared" si="29"/>
        <v>0.98987525895887496</v>
      </c>
    </row>
    <row r="283" spans="1:69" hidden="1" x14ac:dyDescent="0.35">
      <c r="A283">
        <v>281</v>
      </c>
      <c r="B283">
        <v>3735</v>
      </c>
      <c r="D283">
        <v>25</v>
      </c>
      <c r="E283">
        <v>3</v>
      </c>
      <c r="G283">
        <v>16683.3</v>
      </c>
      <c r="I283" t="s">
        <v>62</v>
      </c>
      <c r="L283" t="s">
        <v>1264</v>
      </c>
      <c r="M283">
        <v>9.77</v>
      </c>
      <c r="N283">
        <v>39.76</v>
      </c>
      <c r="O283">
        <v>9.26</v>
      </c>
      <c r="P283" s="3">
        <f t="shared" si="24"/>
        <v>0.94779938587512791</v>
      </c>
      <c r="Q283">
        <v>32.409999999999997</v>
      </c>
      <c r="R283" s="3">
        <f t="shared" si="25"/>
        <v>0.8151408450704225</v>
      </c>
      <c r="S283">
        <v>300</v>
      </c>
      <c r="T283">
        <v>9.5960000000000001</v>
      </c>
      <c r="U283">
        <v>39.28</v>
      </c>
      <c r="V283">
        <v>9.1349999999999998</v>
      </c>
      <c r="W283" s="3">
        <f t="shared" si="26"/>
        <v>0.95195914964568562</v>
      </c>
      <c r="X283">
        <v>31.88</v>
      </c>
      <c r="Y283" s="3">
        <f t="shared" si="27"/>
        <v>0.81160896130346227</v>
      </c>
      <c r="Z283">
        <v>291.3</v>
      </c>
      <c r="AA283">
        <v>77.3</v>
      </c>
      <c r="AB283">
        <v>25.2</v>
      </c>
      <c r="AC283" t="s">
        <v>64</v>
      </c>
      <c r="AE283" t="s">
        <v>65</v>
      </c>
      <c r="AF283" t="s">
        <v>66</v>
      </c>
      <c r="AG283" t="s">
        <v>1105</v>
      </c>
      <c r="AH283" s="1">
        <v>0.5851736111111111</v>
      </c>
      <c r="AI283" t="s">
        <v>68</v>
      </c>
      <c r="AJ283" t="s">
        <v>69</v>
      </c>
      <c r="AO283">
        <v>7.6980000000000004</v>
      </c>
      <c r="AP283">
        <v>41.054000000000002</v>
      </c>
      <c r="AQ283">
        <v>12.8</v>
      </c>
      <c r="AR283">
        <v>1.92</v>
      </c>
      <c r="AS283">
        <v>37</v>
      </c>
      <c r="AT283">
        <v>51.2</v>
      </c>
      <c r="AY283">
        <v>2.36</v>
      </c>
      <c r="AZ283" t="s">
        <v>184</v>
      </c>
      <c r="BB283" t="s">
        <v>184</v>
      </c>
      <c r="BD283" t="s">
        <v>68</v>
      </c>
      <c r="BE283" t="s">
        <v>1265</v>
      </c>
      <c r="BF283" t="s">
        <v>1266</v>
      </c>
      <c r="BG283" t="s">
        <v>1267</v>
      </c>
      <c r="BH283">
        <v>0</v>
      </c>
      <c r="BI283">
        <v>0</v>
      </c>
      <c r="BJ283">
        <v>2</v>
      </c>
      <c r="BK283" t="s">
        <v>1268</v>
      </c>
      <c r="BL283">
        <v>8.8620000000000001</v>
      </c>
      <c r="BM283">
        <v>9.0256000000000007</v>
      </c>
      <c r="BN283" s="2">
        <v>42743</v>
      </c>
      <c r="BO283" s="1">
        <v>0.40202546296296299</v>
      </c>
      <c r="BP283" s="3">
        <f t="shared" si="28"/>
        <v>1.0043888652309232</v>
      </c>
      <c r="BQ283" s="3">
        <f t="shared" si="29"/>
        <v>0.9956671490720661</v>
      </c>
    </row>
    <row r="284" spans="1:69" hidden="1" x14ac:dyDescent="0.35">
      <c r="A284">
        <v>282</v>
      </c>
      <c r="B284">
        <v>3746</v>
      </c>
      <c r="D284">
        <v>25</v>
      </c>
      <c r="E284">
        <v>3</v>
      </c>
      <c r="G284">
        <v>16683.3</v>
      </c>
      <c r="I284" t="s">
        <v>62</v>
      </c>
      <c r="L284" t="s">
        <v>1206</v>
      </c>
      <c r="M284">
        <v>9.77</v>
      </c>
      <c r="N284">
        <v>39.76</v>
      </c>
      <c r="O284">
        <v>9.26</v>
      </c>
      <c r="P284" s="3">
        <f t="shared" si="24"/>
        <v>0.94779938587512791</v>
      </c>
      <c r="Q284">
        <v>32.409999999999997</v>
      </c>
      <c r="R284" s="3">
        <f t="shared" si="25"/>
        <v>0.8151408450704225</v>
      </c>
      <c r="S284">
        <v>300</v>
      </c>
      <c r="T284">
        <v>9.5530000000000008</v>
      </c>
      <c r="U284">
        <v>39.31</v>
      </c>
      <c r="V284">
        <v>9.1319999999999997</v>
      </c>
      <c r="W284" s="3">
        <f t="shared" si="26"/>
        <v>0.95593007432220234</v>
      </c>
      <c r="X284">
        <v>31.8</v>
      </c>
      <c r="Y284" s="3">
        <f t="shared" si="27"/>
        <v>0.80895446451284658</v>
      </c>
      <c r="Z284">
        <v>290.39999999999998</v>
      </c>
      <c r="AA284">
        <v>77.3</v>
      </c>
      <c r="AB284">
        <v>25.2</v>
      </c>
      <c r="AC284" t="s">
        <v>64</v>
      </c>
      <c r="AE284" t="s">
        <v>65</v>
      </c>
      <c r="AF284" t="s">
        <v>66</v>
      </c>
      <c r="AG284" s="2">
        <v>44441</v>
      </c>
      <c r="AH284" s="1">
        <v>0.40718749999999998</v>
      </c>
      <c r="AI284" t="s">
        <v>68</v>
      </c>
      <c r="AJ284" t="s">
        <v>69</v>
      </c>
      <c r="AO284">
        <v>7.5780000000000003</v>
      </c>
      <c r="AP284">
        <v>40.941000000000003</v>
      </c>
      <c r="AQ284">
        <v>12.8</v>
      </c>
      <c r="AR284">
        <v>1.895</v>
      </c>
      <c r="AS284">
        <v>36.774999999999999</v>
      </c>
      <c r="AT284">
        <v>51.2</v>
      </c>
      <c r="AY284">
        <v>2.36</v>
      </c>
      <c r="AZ284" s="2">
        <v>44410</v>
      </c>
      <c r="BB284" s="2">
        <v>44410</v>
      </c>
      <c r="BD284" t="s">
        <v>68</v>
      </c>
      <c r="BE284" t="s">
        <v>1269</v>
      </c>
      <c r="BF284" t="s">
        <v>1270</v>
      </c>
      <c r="BG284" t="s">
        <v>1271</v>
      </c>
      <c r="BH284">
        <v>0</v>
      </c>
      <c r="BI284">
        <v>1</v>
      </c>
      <c r="BJ284">
        <v>2</v>
      </c>
      <c r="BK284" t="s">
        <v>1272</v>
      </c>
      <c r="BL284">
        <v>8.8620000000000001</v>
      </c>
      <c r="BM284">
        <v>9.0256000000000007</v>
      </c>
      <c r="BN284" s="2">
        <v>42743</v>
      </c>
      <c r="BO284" s="1">
        <v>0.5755555555555556</v>
      </c>
      <c r="BP284" s="3">
        <f t="shared" si="28"/>
        <v>1.0085784909425397</v>
      </c>
      <c r="BQ284" s="3">
        <f t="shared" si="29"/>
        <v>0.99241066056867577</v>
      </c>
    </row>
    <row r="285" spans="1:69" hidden="1" x14ac:dyDescent="0.35">
      <c r="A285">
        <v>283</v>
      </c>
      <c r="B285">
        <v>3746</v>
      </c>
      <c r="D285">
        <v>25</v>
      </c>
      <c r="E285">
        <v>3</v>
      </c>
      <c r="G285">
        <v>16683.3</v>
      </c>
      <c r="I285" t="s">
        <v>62</v>
      </c>
      <c r="L285" t="s">
        <v>1264</v>
      </c>
      <c r="M285">
        <v>9.77</v>
      </c>
      <c r="N285">
        <v>39.76</v>
      </c>
      <c r="O285">
        <v>9.26</v>
      </c>
      <c r="P285" s="3">
        <f t="shared" si="24"/>
        <v>0.94779938587512791</v>
      </c>
      <c r="Q285">
        <v>32.409999999999997</v>
      </c>
      <c r="R285" s="3">
        <f t="shared" si="25"/>
        <v>0.8151408450704225</v>
      </c>
      <c r="S285">
        <v>300</v>
      </c>
      <c r="T285">
        <v>9.5489999999999995</v>
      </c>
      <c r="U285">
        <v>39.369999999999997</v>
      </c>
      <c r="V285">
        <v>9.1310000000000002</v>
      </c>
      <c r="W285" s="3">
        <f t="shared" si="26"/>
        <v>0.95622578280448223</v>
      </c>
      <c r="X285">
        <v>31.98</v>
      </c>
      <c r="Y285" s="3">
        <f t="shared" si="27"/>
        <v>0.81229362458724919</v>
      </c>
      <c r="Z285">
        <v>292</v>
      </c>
      <c r="AA285">
        <v>77.7</v>
      </c>
      <c r="AB285">
        <v>25.1</v>
      </c>
      <c r="AC285" t="s">
        <v>64</v>
      </c>
      <c r="AE285" t="s">
        <v>65</v>
      </c>
      <c r="AF285" t="s">
        <v>66</v>
      </c>
      <c r="AG285" t="s">
        <v>1105</v>
      </c>
      <c r="AH285" s="1">
        <v>0.58346064814814813</v>
      </c>
      <c r="AI285" t="s">
        <v>68</v>
      </c>
      <c r="AJ285" t="s">
        <v>69</v>
      </c>
      <c r="AO285">
        <v>7.6980000000000004</v>
      </c>
      <c r="AP285">
        <v>41.165999999999997</v>
      </c>
      <c r="AQ285">
        <v>12.8</v>
      </c>
      <c r="AR285">
        <v>1.925</v>
      </c>
      <c r="AS285">
        <v>37.113</v>
      </c>
      <c r="AT285">
        <v>51.2</v>
      </c>
      <c r="AY285">
        <v>2.36</v>
      </c>
      <c r="AZ285" t="s">
        <v>184</v>
      </c>
      <c r="BB285" t="s">
        <v>184</v>
      </c>
      <c r="BD285" t="s">
        <v>68</v>
      </c>
      <c r="BE285" t="s">
        <v>1273</v>
      </c>
      <c r="BF285" t="s">
        <v>1274</v>
      </c>
      <c r="BG285" t="s">
        <v>1275</v>
      </c>
      <c r="BH285">
        <v>0</v>
      </c>
      <c r="BI285">
        <v>0</v>
      </c>
      <c r="BJ285">
        <v>2</v>
      </c>
      <c r="BK285" t="s">
        <v>1276</v>
      </c>
      <c r="BL285">
        <v>8.8620000000000001</v>
      </c>
      <c r="BM285">
        <v>9.0256000000000007</v>
      </c>
      <c r="BN285" s="2">
        <v>42743</v>
      </c>
      <c r="BO285" s="1">
        <v>0.5755555555555556</v>
      </c>
      <c r="BP285" s="3">
        <f t="shared" si="28"/>
        <v>1.008890485745118</v>
      </c>
      <c r="BQ285" s="3">
        <f t="shared" si="29"/>
        <v>0.9965070815670789</v>
      </c>
    </row>
    <row r="286" spans="1:69" hidden="1" x14ac:dyDescent="0.35">
      <c r="A286">
        <v>284</v>
      </c>
      <c r="B286">
        <v>3720</v>
      </c>
      <c r="D286">
        <v>25</v>
      </c>
      <c r="E286">
        <v>3</v>
      </c>
      <c r="G286">
        <v>16683.3</v>
      </c>
      <c r="I286" t="s">
        <v>62</v>
      </c>
      <c r="L286" t="s">
        <v>1206</v>
      </c>
      <c r="M286">
        <v>9.77</v>
      </c>
      <c r="N286">
        <v>39.76</v>
      </c>
      <c r="O286">
        <v>9.26</v>
      </c>
      <c r="P286" s="3">
        <f t="shared" si="24"/>
        <v>0.94779938587512791</v>
      </c>
      <c r="Q286">
        <v>32.409999999999997</v>
      </c>
      <c r="R286" s="3">
        <f t="shared" si="25"/>
        <v>0.8151408450704225</v>
      </c>
      <c r="S286">
        <v>300</v>
      </c>
      <c r="T286">
        <v>9.6010000000000009</v>
      </c>
      <c r="U286">
        <v>39.29</v>
      </c>
      <c r="V286">
        <v>9.1590000000000007</v>
      </c>
      <c r="W286" s="3">
        <f t="shared" si="26"/>
        <v>0.95396312884074574</v>
      </c>
      <c r="X286">
        <v>31.8</v>
      </c>
      <c r="Y286" s="3">
        <f t="shared" si="27"/>
        <v>0.80936625095444137</v>
      </c>
      <c r="Z286">
        <v>291.3</v>
      </c>
      <c r="AA286">
        <v>77.2</v>
      </c>
      <c r="AB286">
        <v>25.1</v>
      </c>
      <c r="AC286" t="s">
        <v>64</v>
      </c>
      <c r="AE286" t="s">
        <v>65</v>
      </c>
      <c r="AF286" t="s">
        <v>66</v>
      </c>
      <c r="AG286" s="2">
        <v>44441</v>
      </c>
      <c r="AH286" s="1">
        <v>0.40413194444444445</v>
      </c>
      <c r="AI286" t="s">
        <v>68</v>
      </c>
      <c r="AJ286" t="s">
        <v>69</v>
      </c>
      <c r="AO286">
        <v>7.5780000000000003</v>
      </c>
      <c r="AP286">
        <v>40.790999999999997</v>
      </c>
      <c r="AQ286">
        <v>12.8</v>
      </c>
      <c r="AR286">
        <v>1.89</v>
      </c>
      <c r="AS286">
        <v>36.738</v>
      </c>
      <c r="AT286">
        <v>51.2</v>
      </c>
      <c r="AY286">
        <v>2.36</v>
      </c>
      <c r="AZ286" s="2">
        <v>44410</v>
      </c>
      <c r="BB286" s="2">
        <v>44410</v>
      </c>
      <c r="BD286" t="s">
        <v>68</v>
      </c>
      <c r="BE286" t="s">
        <v>1277</v>
      </c>
      <c r="BF286" t="s">
        <v>1278</v>
      </c>
      <c r="BG286" t="s">
        <v>1279</v>
      </c>
      <c r="BH286">
        <v>0</v>
      </c>
      <c r="BI286">
        <v>0</v>
      </c>
      <c r="BJ286">
        <v>1</v>
      </c>
      <c r="BK286" t="s">
        <v>1280</v>
      </c>
      <c r="BL286">
        <v>8.8620000000000001</v>
      </c>
      <c r="BM286">
        <v>9.0256000000000007</v>
      </c>
      <c r="BN286" s="2">
        <v>42743</v>
      </c>
      <c r="BO286" s="1">
        <v>0.43688657407407405</v>
      </c>
      <c r="BP286" s="3">
        <f t="shared" si="28"/>
        <v>1.0065032147704196</v>
      </c>
      <c r="BQ286" s="3">
        <f t="shared" si="29"/>
        <v>0.99291583270436867</v>
      </c>
    </row>
    <row r="287" spans="1:69" hidden="1" x14ac:dyDescent="0.35">
      <c r="A287">
        <v>285</v>
      </c>
      <c r="B287">
        <v>3737</v>
      </c>
      <c r="D287">
        <v>25</v>
      </c>
      <c r="E287">
        <v>3</v>
      </c>
      <c r="G287">
        <v>16683.3</v>
      </c>
      <c r="I287" t="s">
        <v>62</v>
      </c>
      <c r="L287" t="s">
        <v>1206</v>
      </c>
      <c r="M287">
        <v>9.77</v>
      </c>
      <c r="N287">
        <v>39.76</v>
      </c>
      <c r="O287">
        <v>9.26</v>
      </c>
      <c r="P287" s="3">
        <f t="shared" si="24"/>
        <v>0.94779938587512791</v>
      </c>
      <c r="Q287">
        <v>32.409999999999997</v>
      </c>
      <c r="R287" s="3">
        <f t="shared" si="25"/>
        <v>0.8151408450704225</v>
      </c>
      <c r="S287">
        <v>300</v>
      </c>
      <c r="T287">
        <v>9.5950000000000006</v>
      </c>
      <c r="U287">
        <v>39.24</v>
      </c>
      <c r="V287">
        <v>9.1319999999999997</v>
      </c>
      <c r="W287" s="3">
        <f t="shared" si="26"/>
        <v>0.95174570088587795</v>
      </c>
      <c r="X287">
        <v>31.65</v>
      </c>
      <c r="Y287" s="3">
        <f t="shared" si="27"/>
        <v>0.80657492354740057</v>
      </c>
      <c r="Z287">
        <v>289</v>
      </c>
      <c r="AA287">
        <v>76.8</v>
      </c>
      <c r="AB287">
        <v>25</v>
      </c>
      <c r="AC287" t="s">
        <v>64</v>
      </c>
      <c r="AE287" t="s">
        <v>65</v>
      </c>
      <c r="AF287" t="s">
        <v>66</v>
      </c>
      <c r="AG287" s="2">
        <v>44441</v>
      </c>
      <c r="AH287" s="1">
        <v>0.40063657407407405</v>
      </c>
      <c r="AI287" t="s">
        <v>68</v>
      </c>
      <c r="AJ287" t="s">
        <v>69</v>
      </c>
      <c r="AO287">
        <v>7.5730000000000004</v>
      </c>
      <c r="AP287">
        <v>40.941000000000003</v>
      </c>
      <c r="AQ287">
        <v>12.8</v>
      </c>
      <c r="AR287">
        <v>1.895</v>
      </c>
      <c r="AS287">
        <v>36.85</v>
      </c>
      <c r="AT287">
        <v>51.2</v>
      </c>
      <c r="AY287">
        <v>2.36</v>
      </c>
      <c r="AZ287" s="2">
        <v>44410</v>
      </c>
      <c r="BB287" s="2">
        <v>44410</v>
      </c>
      <c r="BD287" t="s">
        <v>68</v>
      </c>
      <c r="BE287" t="s">
        <v>1281</v>
      </c>
      <c r="BF287" t="s">
        <v>1282</v>
      </c>
      <c r="BG287" t="s">
        <v>1283</v>
      </c>
      <c r="BH287">
        <v>0</v>
      </c>
      <c r="BI287">
        <v>1</v>
      </c>
      <c r="BJ287">
        <v>2</v>
      </c>
      <c r="BK287" t="s">
        <v>1284</v>
      </c>
      <c r="BL287">
        <v>8.8620000000000001</v>
      </c>
      <c r="BM287">
        <v>9.0256000000000007</v>
      </c>
      <c r="BN287" s="2">
        <v>42743</v>
      </c>
      <c r="BO287" s="1">
        <v>0.59402777777777782</v>
      </c>
      <c r="BP287" s="3">
        <f t="shared" si="28"/>
        <v>1.0041636606538906</v>
      </c>
      <c r="BQ287" s="3">
        <f t="shared" si="29"/>
        <v>0.98949148288320421</v>
      </c>
    </row>
    <row r="288" spans="1:69" hidden="1" x14ac:dyDescent="0.35">
      <c r="A288">
        <v>286</v>
      </c>
      <c r="B288">
        <v>3737</v>
      </c>
      <c r="D288">
        <v>25</v>
      </c>
      <c r="E288">
        <v>3</v>
      </c>
      <c r="G288">
        <v>16683.3</v>
      </c>
      <c r="I288" t="s">
        <v>62</v>
      </c>
      <c r="L288" t="s">
        <v>1264</v>
      </c>
      <c r="M288">
        <v>9.77</v>
      </c>
      <c r="N288">
        <v>39.76</v>
      </c>
      <c r="O288">
        <v>9.26</v>
      </c>
      <c r="P288" s="3">
        <f t="shared" si="24"/>
        <v>0.94779938587512791</v>
      </c>
      <c r="Q288">
        <v>32.409999999999997</v>
      </c>
      <c r="R288" s="3">
        <f t="shared" si="25"/>
        <v>0.8151408450704225</v>
      </c>
      <c r="S288">
        <v>300</v>
      </c>
      <c r="T288">
        <v>9.5969999999999995</v>
      </c>
      <c r="U288">
        <v>39.35</v>
      </c>
      <c r="V288">
        <v>9.1430000000000007</v>
      </c>
      <c r="W288" s="3">
        <f t="shared" si="26"/>
        <v>0.9526935500677296</v>
      </c>
      <c r="X288">
        <v>31.93</v>
      </c>
      <c r="Y288" s="3">
        <f t="shared" si="27"/>
        <v>0.81143583227445992</v>
      </c>
      <c r="Z288">
        <v>292</v>
      </c>
      <c r="AA288">
        <v>77.3</v>
      </c>
      <c r="AB288">
        <v>24.6</v>
      </c>
      <c r="AC288" t="s">
        <v>64</v>
      </c>
      <c r="AE288" t="s">
        <v>65</v>
      </c>
      <c r="AF288" t="s">
        <v>66</v>
      </c>
      <c r="AG288" t="s">
        <v>1105</v>
      </c>
      <c r="AH288" s="1">
        <v>0.5805555555555556</v>
      </c>
      <c r="AI288" t="s">
        <v>68</v>
      </c>
      <c r="AJ288" t="s">
        <v>69</v>
      </c>
      <c r="AO288">
        <v>7.6929999999999996</v>
      </c>
      <c r="AP288">
        <v>41.204000000000001</v>
      </c>
      <c r="AQ288">
        <v>12.8</v>
      </c>
      <c r="AR288">
        <v>1.925</v>
      </c>
      <c r="AS288">
        <v>37.113</v>
      </c>
      <c r="AT288">
        <v>51.2</v>
      </c>
      <c r="AY288">
        <v>2.36</v>
      </c>
      <c r="AZ288" t="s">
        <v>184</v>
      </c>
      <c r="BB288" t="s">
        <v>184</v>
      </c>
      <c r="BD288" t="s">
        <v>68</v>
      </c>
      <c r="BE288" t="s">
        <v>1285</v>
      </c>
      <c r="BF288" t="s">
        <v>1286</v>
      </c>
      <c r="BG288" t="s">
        <v>1287</v>
      </c>
      <c r="BH288">
        <v>0</v>
      </c>
      <c r="BI288">
        <v>0</v>
      </c>
      <c r="BJ288">
        <v>2</v>
      </c>
      <c r="BK288" t="s">
        <v>1288</v>
      </c>
      <c r="BL288">
        <v>8.8620000000000001</v>
      </c>
      <c r="BM288">
        <v>9.0256000000000007</v>
      </c>
      <c r="BN288" s="2">
        <v>42743</v>
      </c>
      <c r="BO288" s="1">
        <v>0.59402777777777782</v>
      </c>
      <c r="BP288" s="3">
        <f t="shared" si="28"/>
        <v>1.0051637131924103</v>
      </c>
      <c r="BQ288" s="3">
        <f t="shared" si="29"/>
        <v>0.99545475752028778</v>
      </c>
    </row>
    <row r="289" spans="1:69" hidden="1" x14ac:dyDescent="0.35">
      <c r="A289">
        <v>287</v>
      </c>
      <c r="B289">
        <v>3726</v>
      </c>
      <c r="D289">
        <v>25</v>
      </c>
      <c r="E289">
        <v>3</v>
      </c>
      <c r="G289">
        <v>16683.3</v>
      </c>
      <c r="I289" t="s">
        <v>62</v>
      </c>
      <c r="L289" t="s">
        <v>1206</v>
      </c>
      <c r="M289">
        <v>9.77</v>
      </c>
      <c r="N289">
        <v>39.76</v>
      </c>
      <c r="O289">
        <v>9.26</v>
      </c>
      <c r="P289" s="3">
        <f t="shared" si="24"/>
        <v>0.94779938587512791</v>
      </c>
      <c r="Q289">
        <v>32.409999999999997</v>
      </c>
      <c r="R289" s="3">
        <f t="shared" si="25"/>
        <v>0.8151408450704225</v>
      </c>
      <c r="S289">
        <v>300</v>
      </c>
      <c r="T289">
        <v>9.5969999999999995</v>
      </c>
      <c r="U289">
        <v>39.28</v>
      </c>
      <c r="V289">
        <v>9.1470000000000002</v>
      </c>
      <c r="W289" s="3">
        <f t="shared" si="26"/>
        <v>0.95311034698343244</v>
      </c>
      <c r="X289">
        <v>31.67</v>
      </c>
      <c r="Y289" s="3">
        <f t="shared" si="27"/>
        <v>0.80626272912423624</v>
      </c>
      <c r="Z289">
        <v>289.60000000000002</v>
      </c>
      <c r="AA289">
        <v>76.8</v>
      </c>
      <c r="AB289">
        <v>25.2</v>
      </c>
      <c r="AC289" t="s">
        <v>64</v>
      </c>
      <c r="AE289" t="s">
        <v>65</v>
      </c>
      <c r="AF289" t="s">
        <v>66</v>
      </c>
      <c r="AG289" s="2">
        <v>44441</v>
      </c>
      <c r="AH289" s="1">
        <v>0.40593750000000001</v>
      </c>
      <c r="AI289" t="s">
        <v>68</v>
      </c>
      <c r="AJ289" t="s">
        <v>69</v>
      </c>
      <c r="AO289">
        <v>7.5780000000000003</v>
      </c>
      <c r="AP289">
        <v>40.941000000000003</v>
      </c>
      <c r="AQ289">
        <v>12.8</v>
      </c>
      <c r="AR289">
        <v>1.98</v>
      </c>
      <c r="AS289">
        <v>36.963000000000001</v>
      </c>
      <c r="AT289">
        <v>51.2</v>
      </c>
      <c r="AY289">
        <v>2.36</v>
      </c>
      <c r="AZ289" s="2">
        <v>44410</v>
      </c>
      <c r="BB289" s="2">
        <v>44410</v>
      </c>
      <c r="BD289" t="s">
        <v>68</v>
      </c>
      <c r="BE289" t="s">
        <v>1289</v>
      </c>
      <c r="BF289" t="s">
        <v>1290</v>
      </c>
      <c r="BG289" t="s">
        <v>1291</v>
      </c>
      <c r="BH289">
        <v>0</v>
      </c>
      <c r="BI289">
        <v>1</v>
      </c>
      <c r="BJ289">
        <v>2</v>
      </c>
      <c r="BK289" t="s">
        <v>1292</v>
      </c>
      <c r="BL289">
        <v>8.8620000000000001</v>
      </c>
      <c r="BM289">
        <v>9.0256000000000007</v>
      </c>
      <c r="BN289" s="2">
        <v>42743</v>
      </c>
      <c r="BO289" s="1">
        <v>0.42469907407407409</v>
      </c>
      <c r="BP289" s="3">
        <f t="shared" si="28"/>
        <v>1.005603465445803</v>
      </c>
      <c r="BQ289" s="3">
        <f t="shared" si="29"/>
        <v>0.98910848842886867</v>
      </c>
    </row>
    <row r="290" spans="1:69" hidden="1" x14ac:dyDescent="0.35">
      <c r="A290">
        <v>288</v>
      </c>
      <c r="B290">
        <v>3726</v>
      </c>
      <c r="D290">
        <v>25</v>
      </c>
      <c r="E290">
        <v>3</v>
      </c>
      <c r="G290">
        <v>16683.3</v>
      </c>
      <c r="I290" t="s">
        <v>62</v>
      </c>
      <c r="L290" t="s">
        <v>1264</v>
      </c>
      <c r="M290">
        <v>9.77</v>
      </c>
      <c r="N290">
        <v>39.76</v>
      </c>
      <c r="O290">
        <v>9.26</v>
      </c>
      <c r="P290" s="3">
        <f t="shared" si="24"/>
        <v>0.94779938587512791</v>
      </c>
      <c r="Q290">
        <v>32.409999999999997</v>
      </c>
      <c r="R290" s="3">
        <f t="shared" si="25"/>
        <v>0.8151408450704225</v>
      </c>
      <c r="S290">
        <v>300</v>
      </c>
      <c r="T290">
        <v>9.5890000000000004</v>
      </c>
      <c r="U290">
        <v>39.35</v>
      </c>
      <c r="V290">
        <v>9.1470000000000002</v>
      </c>
      <c r="W290" s="3">
        <f t="shared" si="26"/>
        <v>0.95390551673792889</v>
      </c>
      <c r="X290">
        <v>31.93</v>
      </c>
      <c r="Y290" s="3">
        <f t="shared" si="27"/>
        <v>0.81143583227445992</v>
      </c>
      <c r="Z290">
        <v>292</v>
      </c>
      <c r="AA290">
        <v>77.400000000000006</v>
      </c>
      <c r="AB290">
        <v>25.2</v>
      </c>
      <c r="AC290" t="s">
        <v>64</v>
      </c>
      <c r="AE290" t="s">
        <v>65</v>
      </c>
      <c r="AF290" t="s">
        <v>66</v>
      </c>
      <c r="AG290" t="s">
        <v>1105</v>
      </c>
      <c r="AH290" s="1">
        <v>0.58688657407407407</v>
      </c>
      <c r="AI290" t="s">
        <v>68</v>
      </c>
      <c r="AJ290" t="s">
        <v>69</v>
      </c>
      <c r="AO290">
        <v>7.6980000000000004</v>
      </c>
      <c r="AP290">
        <v>41.165999999999997</v>
      </c>
      <c r="AQ290">
        <v>12.8</v>
      </c>
      <c r="AR290">
        <v>1.925</v>
      </c>
      <c r="AS290">
        <v>37.113</v>
      </c>
      <c r="AT290">
        <v>51.2</v>
      </c>
      <c r="AY290">
        <v>2.36</v>
      </c>
      <c r="AZ290" t="s">
        <v>184</v>
      </c>
      <c r="BB290" t="s">
        <v>184</v>
      </c>
      <c r="BD290" t="s">
        <v>68</v>
      </c>
      <c r="BE290" t="s">
        <v>1293</v>
      </c>
      <c r="BF290" t="s">
        <v>1294</v>
      </c>
      <c r="BG290" t="s">
        <v>1295</v>
      </c>
      <c r="BH290">
        <v>0</v>
      </c>
      <c r="BI290">
        <v>0</v>
      </c>
      <c r="BJ290">
        <v>2</v>
      </c>
      <c r="BK290" t="s">
        <v>1296</v>
      </c>
      <c r="BL290">
        <v>8.8620000000000001</v>
      </c>
      <c r="BM290">
        <v>9.0256000000000007</v>
      </c>
      <c r="BN290" s="2">
        <v>42743</v>
      </c>
      <c r="BO290" s="1">
        <v>0.42469907407407409</v>
      </c>
      <c r="BP290" s="3">
        <f t="shared" si="28"/>
        <v>1.0064424296468213</v>
      </c>
      <c r="BQ290" s="3">
        <f t="shared" si="29"/>
        <v>0.99545475752028778</v>
      </c>
    </row>
    <row r="291" spans="1:69" hidden="1" x14ac:dyDescent="0.35">
      <c r="A291">
        <v>289</v>
      </c>
      <c r="B291">
        <v>3738</v>
      </c>
      <c r="D291">
        <v>25</v>
      </c>
      <c r="E291">
        <v>3</v>
      </c>
      <c r="G291">
        <v>16683.3</v>
      </c>
      <c r="I291" t="s">
        <v>62</v>
      </c>
      <c r="L291" t="s">
        <v>1206</v>
      </c>
      <c r="M291">
        <v>9.77</v>
      </c>
      <c r="N291">
        <v>39.76</v>
      </c>
      <c r="O291">
        <v>9.26</v>
      </c>
      <c r="P291" s="3">
        <f t="shared" si="24"/>
        <v>0.94779938587512791</v>
      </c>
      <c r="Q291">
        <v>32.409999999999997</v>
      </c>
      <c r="R291" s="3">
        <f t="shared" si="25"/>
        <v>0.8151408450704225</v>
      </c>
      <c r="S291">
        <v>300</v>
      </c>
      <c r="T291">
        <v>9.6300000000000008</v>
      </c>
      <c r="U291">
        <v>39.200000000000003</v>
      </c>
      <c r="V291">
        <v>9.1440000000000001</v>
      </c>
      <c r="W291" s="3">
        <f t="shared" si="26"/>
        <v>0.94953271028037378</v>
      </c>
      <c r="X291">
        <v>31.69</v>
      </c>
      <c r="Y291" s="3">
        <f t="shared" si="27"/>
        <v>0.80841836734693873</v>
      </c>
      <c r="Z291">
        <v>289.7</v>
      </c>
      <c r="AA291">
        <v>76.8</v>
      </c>
      <c r="AB291">
        <v>25.2</v>
      </c>
      <c r="AC291" t="s">
        <v>64</v>
      </c>
      <c r="AE291" t="s">
        <v>65</v>
      </c>
      <c r="AF291" t="s">
        <v>66</v>
      </c>
      <c r="AG291" s="2">
        <v>44441</v>
      </c>
      <c r="AH291" s="1">
        <v>0.40893518518518518</v>
      </c>
      <c r="AI291" t="s">
        <v>68</v>
      </c>
      <c r="AJ291" t="s">
        <v>69</v>
      </c>
      <c r="AO291">
        <v>7.5780000000000003</v>
      </c>
      <c r="AP291">
        <v>40.753999999999998</v>
      </c>
      <c r="AQ291">
        <v>12.8</v>
      </c>
      <c r="AR291">
        <v>1.895</v>
      </c>
      <c r="AS291">
        <v>36.662999999999997</v>
      </c>
      <c r="AT291">
        <v>51.2</v>
      </c>
      <c r="AY291">
        <v>2.36</v>
      </c>
      <c r="AZ291" s="2">
        <v>44410</v>
      </c>
      <c r="BB291" s="2">
        <v>44410</v>
      </c>
      <c r="BD291" t="s">
        <v>68</v>
      </c>
      <c r="BE291" t="s">
        <v>1297</v>
      </c>
      <c r="BF291" t="s">
        <v>1298</v>
      </c>
      <c r="BG291" t="s">
        <v>1299</v>
      </c>
      <c r="BH291">
        <v>0</v>
      </c>
      <c r="BI291">
        <v>1</v>
      </c>
      <c r="BJ291">
        <v>2</v>
      </c>
      <c r="BK291" t="s">
        <v>1300</v>
      </c>
      <c r="BL291">
        <v>8.8620000000000001</v>
      </c>
      <c r="BM291">
        <v>9.0256000000000007</v>
      </c>
      <c r="BN291" s="2">
        <v>42743</v>
      </c>
      <c r="BO291" s="1">
        <v>0.59180555555555558</v>
      </c>
      <c r="BP291" s="3">
        <f t="shared" si="28"/>
        <v>1.0018287882763772</v>
      </c>
      <c r="BQ291" s="3">
        <f t="shared" si="29"/>
        <v>0.99175298629170894</v>
      </c>
    </row>
    <row r="292" spans="1:69" hidden="1" x14ac:dyDescent="0.35">
      <c r="A292">
        <v>290</v>
      </c>
      <c r="B292">
        <v>3738</v>
      </c>
      <c r="D292">
        <v>25</v>
      </c>
      <c r="E292">
        <v>3</v>
      </c>
      <c r="G292">
        <v>16683.3</v>
      </c>
      <c r="I292" t="s">
        <v>62</v>
      </c>
      <c r="L292" t="s">
        <v>1264</v>
      </c>
      <c r="M292">
        <v>9.77</v>
      </c>
      <c r="N292">
        <v>39.76</v>
      </c>
      <c r="O292">
        <v>9.26</v>
      </c>
      <c r="P292" s="3">
        <f t="shared" si="24"/>
        <v>0.94779938587512791</v>
      </c>
      <c r="Q292">
        <v>32.409999999999997</v>
      </c>
      <c r="R292" s="3">
        <f t="shared" si="25"/>
        <v>0.8151408450704225</v>
      </c>
      <c r="S292">
        <v>300</v>
      </c>
      <c r="T292">
        <v>9.6319999999999997</v>
      </c>
      <c r="U292">
        <v>39.32</v>
      </c>
      <c r="V292">
        <v>9.1479999999999997</v>
      </c>
      <c r="W292" s="3">
        <f t="shared" si="26"/>
        <v>0.94975083056478404</v>
      </c>
      <c r="X292">
        <v>31.95</v>
      </c>
      <c r="Y292" s="3">
        <f t="shared" si="27"/>
        <v>0.81256358087487279</v>
      </c>
      <c r="Z292">
        <v>292.3</v>
      </c>
      <c r="AA292">
        <v>77.2</v>
      </c>
      <c r="AB292">
        <v>24.6</v>
      </c>
      <c r="AC292" t="s">
        <v>64</v>
      </c>
      <c r="AE292" t="s">
        <v>65</v>
      </c>
      <c r="AF292" t="s">
        <v>66</v>
      </c>
      <c r="AG292" t="s">
        <v>1105</v>
      </c>
      <c r="AH292" s="1">
        <v>0.57923611111111106</v>
      </c>
      <c r="AI292" t="s">
        <v>68</v>
      </c>
      <c r="AJ292" t="s">
        <v>69</v>
      </c>
      <c r="AO292">
        <v>7.6929999999999996</v>
      </c>
      <c r="AP292">
        <v>41.091000000000001</v>
      </c>
      <c r="AQ292">
        <v>12.8</v>
      </c>
      <c r="AR292">
        <v>1.925</v>
      </c>
      <c r="AS292">
        <v>37.075000000000003</v>
      </c>
      <c r="AT292">
        <v>51.2</v>
      </c>
      <c r="AY292">
        <v>2.36</v>
      </c>
      <c r="AZ292" t="s">
        <v>184</v>
      </c>
      <c r="BB292" t="s">
        <v>184</v>
      </c>
      <c r="BD292" t="s">
        <v>68</v>
      </c>
      <c r="BE292" t="s">
        <v>1301</v>
      </c>
      <c r="BF292" t="s">
        <v>1302</v>
      </c>
      <c r="BG292" t="s">
        <v>1303</v>
      </c>
      <c r="BH292">
        <v>0</v>
      </c>
      <c r="BI292">
        <v>0</v>
      </c>
      <c r="BJ292">
        <v>2</v>
      </c>
      <c r="BK292" t="s">
        <v>1304</v>
      </c>
      <c r="BL292">
        <v>8.8620000000000001</v>
      </c>
      <c r="BM292">
        <v>9.0256000000000007</v>
      </c>
      <c r="BN292" s="2">
        <v>42743</v>
      </c>
      <c r="BO292" s="1">
        <v>0.59180555555555558</v>
      </c>
      <c r="BP292" s="3">
        <f t="shared" si="28"/>
        <v>1.0020589216650044</v>
      </c>
      <c r="BQ292" s="3">
        <f t="shared" si="29"/>
        <v>0.99683825904304058</v>
      </c>
    </row>
    <row r="293" spans="1:69" hidden="1" x14ac:dyDescent="0.35">
      <c r="A293">
        <v>291</v>
      </c>
      <c r="B293">
        <v>3811</v>
      </c>
      <c r="D293">
        <v>25</v>
      </c>
      <c r="E293">
        <v>3</v>
      </c>
      <c r="G293">
        <v>16683.3</v>
      </c>
      <c r="I293" t="s">
        <v>62</v>
      </c>
      <c r="L293" t="s">
        <v>1305</v>
      </c>
      <c r="M293">
        <v>9.77</v>
      </c>
      <c r="N293">
        <v>39.76</v>
      </c>
      <c r="O293">
        <v>9.26</v>
      </c>
      <c r="P293" s="3">
        <f t="shared" si="24"/>
        <v>0.94779938587512791</v>
      </c>
      <c r="Q293">
        <v>32.409999999999997</v>
      </c>
      <c r="R293" s="3">
        <f t="shared" si="25"/>
        <v>0.8151408450704225</v>
      </c>
      <c r="S293">
        <v>300</v>
      </c>
      <c r="T293">
        <v>9.5589999999999993</v>
      </c>
      <c r="U293">
        <v>39.25</v>
      </c>
      <c r="V293">
        <v>9.141</v>
      </c>
      <c r="W293" s="3">
        <f t="shared" si="26"/>
        <v>0.95627157652474115</v>
      </c>
      <c r="X293">
        <v>31.65</v>
      </c>
      <c r="Y293" s="3">
        <f t="shared" si="27"/>
        <v>0.80636942675159229</v>
      </c>
      <c r="Z293">
        <v>289.3</v>
      </c>
      <c r="AA293">
        <v>77.099999999999994</v>
      </c>
      <c r="AB293">
        <v>25.1</v>
      </c>
      <c r="AC293" t="s">
        <v>64</v>
      </c>
      <c r="AE293" t="s">
        <v>65</v>
      </c>
      <c r="AF293" t="s">
        <v>66</v>
      </c>
      <c r="AG293" s="2">
        <v>44441</v>
      </c>
      <c r="AH293" s="1">
        <v>0.4052662037037037</v>
      </c>
      <c r="AI293" t="s">
        <v>68</v>
      </c>
      <c r="AJ293" t="s">
        <v>69</v>
      </c>
      <c r="AO293">
        <v>7.5730000000000004</v>
      </c>
      <c r="AP293">
        <v>40.904000000000003</v>
      </c>
      <c r="AQ293">
        <v>12.8</v>
      </c>
      <c r="AR293">
        <v>1.895</v>
      </c>
      <c r="AS293">
        <v>36.738</v>
      </c>
      <c r="AT293">
        <v>51.2</v>
      </c>
      <c r="AY293">
        <v>2.36</v>
      </c>
      <c r="AZ293" s="2">
        <v>44410</v>
      </c>
      <c r="BB293" s="2">
        <v>44410</v>
      </c>
      <c r="BD293" t="s">
        <v>68</v>
      </c>
      <c r="BE293" t="s">
        <v>1306</v>
      </c>
      <c r="BF293" t="s">
        <v>1307</v>
      </c>
      <c r="BG293" t="s">
        <v>1308</v>
      </c>
      <c r="BH293">
        <v>0</v>
      </c>
      <c r="BI293">
        <v>1</v>
      </c>
      <c r="BJ293">
        <v>2</v>
      </c>
      <c r="BK293" t="s">
        <v>1309</v>
      </c>
      <c r="BL293">
        <v>8.8620000000000001</v>
      </c>
      <c r="BM293">
        <v>9.0256000000000007</v>
      </c>
      <c r="BN293" t="s">
        <v>1178</v>
      </c>
      <c r="BO293" s="1">
        <v>0.43829861111111112</v>
      </c>
      <c r="BP293" s="3">
        <f t="shared" si="28"/>
        <v>1.0089388015817193</v>
      </c>
      <c r="BQ293" s="3">
        <f t="shared" si="29"/>
        <v>0.98923938314234217</v>
      </c>
    </row>
    <row r="294" spans="1:69" hidden="1" x14ac:dyDescent="0.35">
      <c r="A294">
        <v>292</v>
      </c>
      <c r="B294">
        <v>3811</v>
      </c>
      <c r="D294">
        <v>25</v>
      </c>
      <c r="E294">
        <v>3</v>
      </c>
      <c r="G294">
        <v>16683.3</v>
      </c>
      <c r="I294" t="s">
        <v>62</v>
      </c>
      <c r="L294" t="s">
        <v>1179</v>
      </c>
      <c r="M294">
        <v>9.77</v>
      </c>
      <c r="N294">
        <v>39.76</v>
      </c>
      <c r="O294">
        <v>9.26</v>
      </c>
      <c r="P294" s="3">
        <f t="shared" si="24"/>
        <v>0.94779938587512791</v>
      </c>
      <c r="Q294">
        <v>32.409999999999997</v>
      </c>
      <c r="R294" s="3">
        <f t="shared" si="25"/>
        <v>0.8151408450704225</v>
      </c>
      <c r="S294">
        <v>300</v>
      </c>
      <c r="T294">
        <v>9.5609999999999999</v>
      </c>
      <c r="U294">
        <v>39.33</v>
      </c>
      <c r="V294">
        <v>9.1519999999999992</v>
      </c>
      <c r="W294" s="3">
        <f t="shared" si="26"/>
        <v>0.95722204790293897</v>
      </c>
      <c r="X294">
        <v>31.93</v>
      </c>
      <c r="Y294" s="3">
        <f t="shared" si="27"/>
        <v>0.81184846173404523</v>
      </c>
      <c r="Z294">
        <v>292.2</v>
      </c>
      <c r="AA294">
        <v>77.7</v>
      </c>
      <c r="AB294">
        <v>25.1</v>
      </c>
      <c r="AC294" t="s">
        <v>64</v>
      </c>
      <c r="AE294" t="s">
        <v>65</v>
      </c>
      <c r="AF294" t="s">
        <v>66</v>
      </c>
      <c r="AG294" t="s">
        <v>1105</v>
      </c>
      <c r="AH294" s="1">
        <v>0.58982638888888894</v>
      </c>
      <c r="AI294" t="s">
        <v>68</v>
      </c>
      <c r="AJ294" t="s">
        <v>69</v>
      </c>
      <c r="AO294">
        <v>7.6980000000000004</v>
      </c>
      <c r="AP294">
        <v>40.378</v>
      </c>
      <c r="AQ294">
        <v>12.8</v>
      </c>
      <c r="AR294">
        <v>1.895</v>
      </c>
      <c r="AS294">
        <v>36.436999999999998</v>
      </c>
      <c r="AT294">
        <v>51.2</v>
      </c>
      <c r="AY294">
        <v>2.36</v>
      </c>
      <c r="AZ294" t="s">
        <v>184</v>
      </c>
      <c r="BB294" t="s">
        <v>184</v>
      </c>
      <c r="BD294" t="s">
        <v>68</v>
      </c>
      <c r="BE294" t="s">
        <v>1310</v>
      </c>
      <c r="BF294" t="s">
        <v>1311</v>
      </c>
      <c r="BG294" t="s">
        <v>1312</v>
      </c>
      <c r="BH294">
        <v>0</v>
      </c>
      <c r="BI294">
        <v>0</v>
      </c>
      <c r="BJ294">
        <v>2</v>
      </c>
      <c r="BK294" t="s">
        <v>1313</v>
      </c>
      <c r="BL294">
        <v>8.8620000000000001</v>
      </c>
      <c r="BM294">
        <v>9.0256000000000007</v>
      </c>
      <c r="BN294" t="s">
        <v>1178</v>
      </c>
      <c r="BO294" s="1">
        <v>0.43829861111111112</v>
      </c>
      <c r="BP294" s="3">
        <f t="shared" si="28"/>
        <v>1.0099416207356062</v>
      </c>
      <c r="BQ294" s="3">
        <f t="shared" si="29"/>
        <v>0.99596096385515709</v>
      </c>
    </row>
    <row r="295" spans="1:69" hidden="1" x14ac:dyDescent="0.35">
      <c r="A295">
        <v>293</v>
      </c>
      <c r="B295">
        <v>3754</v>
      </c>
      <c r="D295">
        <v>25</v>
      </c>
      <c r="E295">
        <v>3</v>
      </c>
      <c r="G295">
        <v>16683.3</v>
      </c>
      <c r="I295" t="s">
        <v>62</v>
      </c>
      <c r="L295" t="s">
        <v>1206</v>
      </c>
      <c r="M295">
        <v>9.77</v>
      </c>
      <c r="N295">
        <v>39.76</v>
      </c>
      <c r="O295">
        <v>9.26</v>
      </c>
      <c r="P295" s="3">
        <f t="shared" si="24"/>
        <v>0.94779938587512791</v>
      </c>
      <c r="Q295">
        <v>32.409999999999997</v>
      </c>
      <c r="R295" s="3">
        <f t="shared" si="25"/>
        <v>0.8151408450704225</v>
      </c>
      <c r="S295">
        <v>300</v>
      </c>
      <c r="T295">
        <v>9.59</v>
      </c>
      <c r="U295">
        <v>39.28</v>
      </c>
      <c r="V295">
        <v>9.11</v>
      </c>
      <c r="W295" s="3">
        <f t="shared" si="26"/>
        <v>0.94994786235662143</v>
      </c>
      <c r="X295">
        <v>31.72</v>
      </c>
      <c r="Y295" s="3">
        <f t="shared" si="27"/>
        <v>0.8075356415478615</v>
      </c>
      <c r="Z295">
        <v>288.89999999999998</v>
      </c>
      <c r="AA295">
        <v>76.7</v>
      </c>
      <c r="AB295">
        <v>25.1</v>
      </c>
      <c r="AC295" t="s">
        <v>64</v>
      </c>
      <c r="AE295" t="s">
        <v>65</v>
      </c>
      <c r="AF295" t="s">
        <v>66</v>
      </c>
      <c r="AG295" s="2">
        <v>44441</v>
      </c>
      <c r="AH295" s="1">
        <v>0.40118055555555554</v>
      </c>
      <c r="AI295" t="s">
        <v>68</v>
      </c>
      <c r="AJ295" t="s">
        <v>69</v>
      </c>
      <c r="AO295">
        <v>7.5730000000000004</v>
      </c>
      <c r="AP295">
        <v>40.978999999999999</v>
      </c>
      <c r="AQ295">
        <v>12.8</v>
      </c>
      <c r="AR295">
        <v>1.895</v>
      </c>
      <c r="AS295">
        <v>36.85</v>
      </c>
      <c r="AT295">
        <v>51.2</v>
      </c>
      <c r="AY295">
        <v>2.36</v>
      </c>
      <c r="AZ295" s="2">
        <v>44410</v>
      </c>
      <c r="BB295" s="2">
        <v>44410</v>
      </c>
      <c r="BD295" t="s">
        <v>68</v>
      </c>
      <c r="BE295" t="s">
        <v>1314</v>
      </c>
      <c r="BF295" t="s">
        <v>1315</v>
      </c>
      <c r="BG295" t="s">
        <v>1316</v>
      </c>
      <c r="BH295">
        <v>0</v>
      </c>
      <c r="BI295">
        <v>1</v>
      </c>
      <c r="BJ295">
        <v>2</v>
      </c>
      <c r="BK295" t="s">
        <v>1317</v>
      </c>
      <c r="BL295">
        <v>8.8620000000000001</v>
      </c>
      <c r="BM295">
        <v>9.0256000000000007</v>
      </c>
      <c r="BN295" s="2">
        <v>42743</v>
      </c>
      <c r="BO295" s="1">
        <v>0.56025462962962957</v>
      </c>
      <c r="BP295" s="3">
        <f t="shared" si="28"/>
        <v>1.0022668050998047</v>
      </c>
      <c r="BQ295" s="3">
        <f t="shared" si="29"/>
        <v>0.99067007429629661</v>
      </c>
    </row>
    <row r="296" spans="1:69" hidden="1" x14ac:dyDescent="0.35">
      <c r="A296">
        <v>294</v>
      </c>
      <c r="B296">
        <v>3754</v>
      </c>
      <c r="D296">
        <v>25</v>
      </c>
      <c r="E296">
        <v>3</v>
      </c>
      <c r="G296">
        <v>16683.3</v>
      </c>
      <c r="I296" t="s">
        <v>62</v>
      </c>
      <c r="L296" t="s">
        <v>1264</v>
      </c>
      <c r="M296">
        <v>9.77</v>
      </c>
      <c r="N296">
        <v>39.76</v>
      </c>
      <c r="O296">
        <v>9.26</v>
      </c>
      <c r="P296" s="3">
        <f t="shared" si="24"/>
        <v>0.94779938587512791</v>
      </c>
      <c r="Q296">
        <v>32.409999999999997</v>
      </c>
      <c r="R296" s="3">
        <f t="shared" si="25"/>
        <v>0.8151408450704225</v>
      </c>
      <c r="S296">
        <v>300</v>
      </c>
      <c r="T296">
        <v>9.5839999999999996</v>
      </c>
      <c r="U296">
        <v>39.4</v>
      </c>
      <c r="V296">
        <v>9.1150000000000002</v>
      </c>
      <c r="W296" s="3">
        <f t="shared" si="26"/>
        <v>0.95106427378964953</v>
      </c>
      <c r="X296">
        <v>32</v>
      </c>
      <c r="Y296" s="3">
        <f t="shared" si="27"/>
        <v>0.81218274111675126</v>
      </c>
      <c r="Z296">
        <v>291.60000000000002</v>
      </c>
      <c r="AA296">
        <v>77.2</v>
      </c>
      <c r="AB296">
        <v>24.6</v>
      </c>
      <c r="AC296" t="s">
        <v>64</v>
      </c>
      <c r="AE296" t="s">
        <v>65</v>
      </c>
      <c r="AF296" t="s">
        <v>66</v>
      </c>
      <c r="AG296" t="s">
        <v>1105</v>
      </c>
      <c r="AH296" s="1">
        <v>0.57721064814814815</v>
      </c>
      <c r="AI296" t="s">
        <v>68</v>
      </c>
      <c r="AJ296" t="s">
        <v>69</v>
      </c>
      <c r="AO296">
        <v>7.6929999999999996</v>
      </c>
      <c r="AP296">
        <v>41.241</v>
      </c>
      <c r="AQ296">
        <v>12.8</v>
      </c>
      <c r="AR296">
        <v>1.925</v>
      </c>
      <c r="AS296">
        <v>37.113</v>
      </c>
      <c r="AT296">
        <v>51.2</v>
      </c>
      <c r="AY296">
        <v>2.36</v>
      </c>
      <c r="AZ296" t="s">
        <v>184</v>
      </c>
      <c r="BB296" t="s">
        <v>184</v>
      </c>
      <c r="BD296" t="s">
        <v>68</v>
      </c>
      <c r="BE296" t="s">
        <v>1318</v>
      </c>
      <c r="BF296" t="s">
        <v>1319</v>
      </c>
      <c r="BG296" t="s">
        <v>1320</v>
      </c>
      <c r="BH296">
        <v>0</v>
      </c>
      <c r="BI296">
        <v>0</v>
      </c>
      <c r="BJ296">
        <v>2</v>
      </c>
      <c r="BK296" t="s">
        <v>1321</v>
      </c>
      <c r="BL296">
        <v>8.8620000000000001</v>
      </c>
      <c r="BM296">
        <v>9.0256000000000007</v>
      </c>
      <c r="BN296" s="2">
        <v>42743</v>
      </c>
      <c r="BO296" s="1">
        <v>0.56025462962962957</v>
      </c>
      <c r="BP296" s="3">
        <f t="shared" si="28"/>
        <v>1.0034447035556022</v>
      </c>
      <c r="BQ296" s="3">
        <f t="shared" si="29"/>
        <v>0.99637105173718088</v>
      </c>
    </row>
    <row r="297" spans="1:69" hidden="1" x14ac:dyDescent="0.35">
      <c r="A297">
        <v>295</v>
      </c>
      <c r="B297">
        <v>3714</v>
      </c>
      <c r="D297">
        <v>25</v>
      </c>
      <c r="E297">
        <v>3</v>
      </c>
      <c r="G297">
        <v>16683.3</v>
      </c>
      <c r="I297" t="s">
        <v>62</v>
      </c>
      <c r="L297" t="s">
        <v>1206</v>
      </c>
      <c r="M297">
        <v>9.77</v>
      </c>
      <c r="N297">
        <v>39.76</v>
      </c>
      <c r="O297">
        <v>9.26</v>
      </c>
      <c r="P297" s="3">
        <f t="shared" si="24"/>
        <v>0.94779938587512791</v>
      </c>
      <c r="Q297">
        <v>32.409999999999997</v>
      </c>
      <c r="R297" s="3">
        <f t="shared" si="25"/>
        <v>0.8151408450704225</v>
      </c>
      <c r="S297">
        <v>300</v>
      </c>
      <c r="T297">
        <v>9.6259999999999994</v>
      </c>
      <c r="U297">
        <v>39.229999999999997</v>
      </c>
      <c r="V297">
        <v>9.1549999999999994</v>
      </c>
      <c r="W297" s="3">
        <f t="shared" si="26"/>
        <v>0.95107001869935592</v>
      </c>
      <c r="X297">
        <v>31.64</v>
      </c>
      <c r="Y297" s="3">
        <f t="shared" si="27"/>
        <v>0.80652561814937551</v>
      </c>
      <c r="Z297">
        <v>289.7</v>
      </c>
      <c r="AA297">
        <v>76.7</v>
      </c>
      <c r="AB297">
        <v>25.1</v>
      </c>
      <c r="AC297" t="s">
        <v>64</v>
      </c>
      <c r="AE297" t="s">
        <v>65</v>
      </c>
      <c r="AF297" t="s">
        <v>66</v>
      </c>
      <c r="AG297" s="2">
        <v>44441</v>
      </c>
      <c r="AH297" s="1">
        <v>0.40234953703703702</v>
      </c>
      <c r="AI297" t="s">
        <v>68</v>
      </c>
      <c r="AJ297" t="s">
        <v>69</v>
      </c>
      <c r="AO297">
        <v>7.5780000000000003</v>
      </c>
      <c r="AP297">
        <v>40.829000000000001</v>
      </c>
      <c r="AQ297">
        <v>12.8</v>
      </c>
      <c r="AR297">
        <v>1.895</v>
      </c>
      <c r="AS297">
        <v>36.738</v>
      </c>
      <c r="AT297">
        <v>51.2</v>
      </c>
      <c r="AY297">
        <v>2.36</v>
      </c>
      <c r="AZ297" s="2">
        <v>44410</v>
      </c>
      <c r="BB297" s="2">
        <v>44410</v>
      </c>
      <c r="BD297" t="s">
        <v>68</v>
      </c>
      <c r="BE297" t="s">
        <v>1322</v>
      </c>
      <c r="BF297" t="s">
        <v>1323</v>
      </c>
      <c r="BG297" t="s">
        <v>1324</v>
      </c>
      <c r="BH297">
        <v>0</v>
      </c>
      <c r="BI297">
        <v>0</v>
      </c>
      <c r="BJ297">
        <v>1</v>
      </c>
      <c r="BK297" t="s">
        <v>1325</v>
      </c>
      <c r="BL297">
        <v>8.8620000000000001</v>
      </c>
      <c r="BM297">
        <v>9.0256000000000007</v>
      </c>
      <c r="BN297" s="2">
        <v>42743</v>
      </c>
      <c r="BO297" s="1">
        <v>0.45393518518518516</v>
      </c>
      <c r="BP297" s="3">
        <f t="shared" si="28"/>
        <v>1.0034507648696229</v>
      </c>
      <c r="BQ297" s="3">
        <f t="shared" si="29"/>
        <v>0.9894309959154326</v>
      </c>
    </row>
    <row r="298" spans="1:69" hidden="1" x14ac:dyDescent="0.35">
      <c r="A298">
        <v>296</v>
      </c>
      <c r="B298">
        <v>3742</v>
      </c>
      <c r="D298">
        <v>25</v>
      </c>
      <c r="E298">
        <v>3</v>
      </c>
      <c r="G298">
        <v>16683.3</v>
      </c>
      <c r="I298" t="s">
        <v>62</v>
      </c>
      <c r="L298" t="s">
        <v>1206</v>
      </c>
      <c r="M298">
        <v>9.77</v>
      </c>
      <c r="N298">
        <v>39.76</v>
      </c>
      <c r="O298">
        <v>9.26</v>
      </c>
      <c r="P298" s="3">
        <f t="shared" si="24"/>
        <v>0.94779938587512791</v>
      </c>
      <c r="Q298">
        <v>32.409999999999997</v>
      </c>
      <c r="R298" s="3">
        <f t="shared" si="25"/>
        <v>0.8151408450704225</v>
      </c>
      <c r="S298">
        <v>300</v>
      </c>
      <c r="T298">
        <v>9.58</v>
      </c>
      <c r="U298">
        <v>39.26</v>
      </c>
      <c r="V298">
        <v>9.1470000000000002</v>
      </c>
      <c r="W298" s="3">
        <f t="shared" si="26"/>
        <v>0.95480167014613782</v>
      </c>
      <c r="X298">
        <v>31.64</v>
      </c>
      <c r="Y298" s="3">
        <f t="shared" si="27"/>
        <v>0.80590932246561386</v>
      </c>
      <c r="Z298">
        <v>289.39999999999998</v>
      </c>
      <c r="AA298">
        <v>76.900000000000006</v>
      </c>
      <c r="AB298">
        <v>25.2</v>
      </c>
      <c r="AC298" t="s">
        <v>64</v>
      </c>
      <c r="AE298" t="s">
        <v>65</v>
      </c>
      <c r="AF298" t="s">
        <v>66</v>
      </c>
      <c r="AG298" s="2">
        <v>44441</v>
      </c>
      <c r="AH298" s="1">
        <v>0.40834490740740742</v>
      </c>
      <c r="AI298" t="s">
        <v>68</v>
      </c>
      <c r="AJ298" t="s">
        <v>69</v>
      </c>
      <c r="AO298">
        <v>7.5730000000000004</v>
      </c>
      <c r="AP298">
        <v>40.904000000000003</v>
      </c>
      <c r="AQ298">
        <v>12.8</v>
      </c>
      <c r="AR298">
        <v>1.895</v>
      </c>
      <c r="AS298">
        <v>36.774999999999999</v>
      </c>
      <c r="AT298">
        <v>51.2</v>
      </c>
      <c r="AY298">
        <v>2.36</v>
      </c>
      <c r="AZ298" s="2">
        <v>44410</v>
      </c>
      <c r="BB298" s="2">
        <v>44410</v>
      </c>
      <c r="BD298" t="s">
        <v>68</v>
      </c>
      <c r="BE298" t="s">
        <v>1326</v>
      </c>
      <c r="BF298" t="s">
        <v>1327</v>
      </c>
      <c r="BG298" t="s">
        <v>1328</v>
      </c>
      <c r="BH298">
        <v>0</v>
      </c>
      <c r="BI298">
        <v>1</v>
      </c>
      <c r="BJ298">
        <v>2</v>
      </c>
      <c r="BK298" t="s">
        <v>1329</v>
      </c>
      <c r="BL298">
        <v>8.8620000000000001</v>
      </c>
      <c r="BM298">
        <v>9.0256000000000007</v>
      </c>
      <c r="BN298" s="2">
        <v>42743</v>
      </c>
      <c r="BO298" s="1">
        <v>0.58313657407407404</v>
      </c>
      <c r="BP298" s="3">
        <f t="shared" si="28"/>
        <v>1.0073879392362599</v>
      </c>
      <c r="BQ298" s="3">
        <f t="shared" si="29"/>
        <v>0.98867493555176822</v>
      </c>
    </row>
    <row r="299" spans="1:69" hidden="1" x14ac:dyDescent="0.35">
      <c r="A299">
        <v>297</v>
      </c>
      <c r="B299">
        <v>3742</v>
      </c>
      <c r="D299">
        <v>25</v>
      </c>
      <c r="E299">
        <v>3</v>
      </c>
      <c r="G299">
        <v>16683.3</v>
      </c>
      <c r="I299" t="s">
        <v>62</v>
      </c>
      <c r="L299" t="s">
        <v>1264</v>
      </c>
      <c r="M299">
        <v>9.77</v>
      </c>
      <c r="N299">
        <v>39.76</v>
      </c>
      <c r="O299">
        <v>9.26</v>
      </c>
      <c r="P299" s="3">
        <f t="shared" si="24"/>
        <v>0.94779938587512791</v>
      </c>
      <c r="Q299">
        <v>32.409999999999997</v>
      </c>
      <c r="R299" s="3">
        <f t="shared" si="25"/>
        <v>0.8151408450704225</v>
      </c>
      <c r="S299">
        <v>300</v>
      </c>
      <c r="T299">
        <v>9.577</v>
      </c>
      <c r="U299">
        <v>39.36</v>
      </c>
      <c r="V299">
        <v>9.1440000000000001</v>
      </c>
      <c r="W299" s="3">
        <f t="shared" si="26"/>
        <v>0.95478751174689358</v>
      </c>
      <c r="X299">
        <v>31.91</v>
      </c>
      <c r="Y299" s="3">
        <f t="shared" si="27"/>
        <v>0.81072154471544722</v>
      </c>
      <c r="Z299">
        <v>291.8</v>
      </c>
      <c r="AA299">
        <v>77.400000000000006</v>
      </c>
      <c r="AB299">
        <v>24.7</v>
      </c>
      <c r="AC299" t="s">
        <v>64</v>
      </c>
      <c r="AE299" t="s">
        <v>65</v>
      </c>
      <c r="AF299" t="s">
        <v>66</v>
      </c>
      <c r="AG299" t="s">
        <v>1105</v>
      </c>
      <c r="AH299" s="1">
        <v>0.5815393518518519</v>
      </c>
      <c r="AI299" t="s">
        <v>68</v>
      </c>
      <c r="AJ299" t="s">
        <v>69</v>
      </c>
      <c r="AO299">
        <v>7.6929999999999996</v>
      </c>
      <c r="AP299">
        <v>41.165999999999997</v>
      </c>
      <c r="AQ299">
        <v>12.8</v>
      </c>
      <c r="AR299">
        <v>1.92</v>
      </c>
      <c r="AS299">
        <v>37.113</v>
      </c>
      <c r="AT299">
        <v>51.2</v>
      </c>
      <c r="AY299">
        <v>2.36</v>
      </c>
      <c r="AZ299" t="s">
        <v>184</v>
      </c>
      <c r="BB299" t="s">
        <v>184</v>
      </c>
      <c r="BD299" t="s">
        <v>68</v>
      </c>
      <c r="BE299" t="s">
        <v>1330</v>
      </c>
      <c r="BF299" t="s">
        <v>1331</v>
      </c>
      <c r="BG299" t="s">
        <v>1332</v>
      </c>
      <c r="BH299">
        <v>0</v>
      </c>
      <c r="BI299">
        <v>0</v>
      </c>
      <c r="BJ299">
        <v>2</v>
      </c>
      <c r="BK299" t="s">
        <v>1333</v>
      </c>
      <c r="BL299">
        <v>8.8620000000000001</v>
      </c>
      <c r="BM299">
        <v>9.0256000000000007</v>
      </c>
      <c r="BN299" s="2">
        <v>42743</v>
      </c>
      <c r="BO299" s="1">
        <v>0.58313657407407404</v>
      </c>
      <c r="BP299" s="3">
        <f t="shared" si="28"/>
        <v>1.0073730010547679</v>
      </c>
      <c r="BQ299" s="3">
        <f t="shared" si="29"/>
        <v>0.99457848250188774</v>
      </c>
    </row>
    <row r="300" spans="1:69" hidden="1" x14ac:dyDescent="0.35">
      <c r="A300">
        <v>298</v>
      </c>
      <c r="B300">
        <v>3744</v>
      </c>
      <c r="D300">
        <v>25</v>
      </c>
      <c r="E300">
        <v>3</v>
      </c>
      <c r="G300">
        <v>16683.3</v>
      </c>
      <c r="I300" t="s">
        <v>62</v>
      </c>
      <c r="L300" t="s">
        <v>1206</v>
      </c>
      <c r="M300">
        <v>9.77</v>
      </c>
      <c r="N300">
        <v>39.76</v>
      </c>
      <c r="O300">
        <v>9.26</v>
      </c>
      <c r="P300" s="3">
        <f t="shared" si="24"/>
        <v>0.94779938587512791</v>
      </c>
      <c r="Q300">
        <v>32.409999999999997</v>
      </c>
      <c r="R300" s="3">
        <f t="shared" si="25"/>
        <v>0.8151408450704225</v>
      </c>
      <c r="S300">
        <v>300</v>
      </c>
      <c r="T300">
        <v>9.6300000000000008</v>
      </c>
      <c r="U300">
        <v>39.200000000000003</v>
      </c>
      <c r="V300">
        <v>9.1419999999999995</v>
      </c>
      <c r="W300" s="3">
        <f t="shared" si="26"/>
        <v>0.9493250259605398</v>
      </c>
      <c r="X300">
        <v>31.65</v>
      </c>
      <c r="Y300" s="3">
        <f t="shared" si="27"/>
        <v>0.80739795918367341</v>
      </c>
      <c r="Z300">
        <v>289.39999999999998</v>
      </c>
      <c r="AA300">
        <v>76.7</v>
      </c>
      <c r="AB300">
        <v>25.1</v>
      </c>
      <c r="AC300" t="s">
        <v>64</v>
      </c>
      <c r="AE300" t="s">
        <v>65</v>
      </c>
      <c r="AF300" t="s">
        <v>66</v>
      </c>
      <c r="AG300" s="2">
        <v>44441</v>
      </c>
      <c r="AH300" s="1">
        <v>0.40780092592592593</v>
      </c>
      <c r="AI300" t="s">
        <v>68</v>
      </c>
      <c r="AJ300" t="s">
        <v>69</v>
      </c>
      <c r="AO300">
        <v>7.5780000000000003</v>
      </c>
      <c r="AP300">
        <v>40.829000000000001</v>
      </c>
      <c r="AQ300">
        <v>12.8</v>
      </c>
      <c r="AR300">
        <v>1.895</v>
      </c>
      <c r="AS300">
        <v>36.738</v>
      </c>
      <c r="AT300">
        <v>51.2</v>
      </c>
      <c r="AY300">
        <v>2.36</v>
      </c>
      <c r="AZ300" s="2">
        <v>44410</v>
      </c>
      <c r="BB300" s="2">
        <v>44410</v>
      </c>
      <c r="BD300" t="s">
        <v>68</v>
      </c>
      <c r="BE300" t="s">
        <v>1334</v>
      </c>
      <c r="BF300" t="s">
        <v>1335</v>
      </c>
      <c r="BG300" t="s">
        <v>1336</v>
      </c>
      <c r="BH300">
        <v>0</v>
      </c>
      <c r="BI300">
        <v>1</v>
      </c>
      <c r="BJ300">
        <v>2</v>
      </c>
      <c r="BK300" t="s">
        <v>1337</v>
      </c>
      <c r="BL300">
        <v>8.8620000000000001</v>
      </c>
      <c r="BM300">
        <v>9.0256000000000007</v>
      </c>
      <c r="BN300" s="2">
        <v>42743</v>
      </c>
      <c r="BO300" s="1">
        <v>0.57915509259259257</v>
      </c>
      <c r="BP300" s="3">
        <f t="shared" si="28"/>
        <v>1.0016096656192737</v>
      </c>
      <c r="BQ300" s="3">
        <f t="shared" si="29"/>
        <v>0.99050116806981969</v>
      </c>
    </row>
    <row r="301" spans="1:69" hidden="1" x14ac:dyDescent="0.35">
      <c r="A301">
        <v>299</v>
      </c>
      <c r="B301">
        <v>3744</v>
      </c>
      <c r="D301">
        <v>25</v>
      </c>
      <c r="E301">
        <v>3</v>
      </c>
      <c r="G301">
        <v>16683.3</v>
      </c>
      <c r="I301" t="s">
        <v>62</v>
      </c>
      <c r="L301" t="s">
        <v>1264</v>
      </c>
      <c r="M301">
        <v>9.77</v>
      </c>
      <c r="N301">
        <v>39.76</v>
      </c>
      <c r="O301">
        <v>9.26</v>
      </c>
      <c r="P301" s="3">
        <f t="shared" si="24"/>
        <v>0.94779938587512791</v>
      </c>
      <c r="Q301">
        <v>32.409999999999997</v>
      </c>
      <c r="R301" s="3">
        <f t="shared" si="25"/>
        <v>0.8151408450704225</v>
      </c>
      <c r="S301">
        <v>300</v>
      </c>
      <c r="T301">
        <v>9.625</v>
      </c>
      <c r="U301">
        <v>39.29</v>
      </c>
      <c r="V301">
        <v>9.1419999999999995</v>
      </c>
      <c r="W301" s="3">
        <f t="shared" si="26"/>
        <v>0.94981818181818178</v>
      </c>
      <c r="X301">
        <v>31.9</v>
      </c>
      <c r="Y301" s="3">
        <f t="shared" si="27"/>
        <v>0.8119114278442352</v>
      </c>
      <c r="Z301">
        <v>291.60000000000002</v>
      </c>
      <c r="AA301">
        <v>77.099999999999994</v>
      </c>
      <c r="AB301">
        <v>24.8</v>
      </c>
      <c r="AC301" t="s">
        <v>64</v>
      </c>
      <c r="AE301" t="s">
        <v>65</v>
      </c>
      <c r="AF301" t="s">
        <v>66</v>
      </c>
      <c r="AG301" t="s">
        <v>1105</v>
      </c>
      <c r="AH301" s="1">
        <v>0.58253472222222225</v>
      </c>
      <c r="AI301" t="s">
        <v>68</v>
      </c>
      <c r="AJ301" t="s">
        <v>69</v>
      </c>
      <c r="AO301">
        <v>7.6929999999999996</v>
      </c>
      <c r="AP301">
        <v>41.128999999999998</v>
      </c>
      <c r="AQ301">
        <v>12.8</v>
      </c>
      <c r="AR301">
        <v>1.92</v>
      </c>
      <c r="AS301">
        <v>37.075000000000003</v>
      </c>
      <c r="AT301">
        <v>51.2</v>
      </c>
      <c r="AY301">
        <v>2.36</v>
      </c>
      <c r="AZ301" t="s">
        <v>184</v>
      </c>
      <c r="BB301" t="s">
        <v>184</v>
      </c>
      <c r="BD301" t="s">
        <v>68</v>
      </c>
      <c r="BE301" t="s">
        <v>1338</v>
      </c>
      <c r="BF301" t="s">
        <v>1339</v>
      </c>
      <c r="BG301" t="s">
        <v>1340</v>
      </c>
      <c r="BH301">
        <v>0</v>
      </c>
      <c r="BI301">
        <v>0</v>
      </c>
      <c r="BJ301">
        <v>2</v>
      </c>
      <c r="BK301" t="s">
        <v>1341</v>
      </c>
      <c r="BL301">
        <v>8.8620000000000001</v>
      </c>
      <c r="BM301">
        <v>9.0256000000000007</v>
      </c>
      <c r="BN301" s="2">
        <v>42743</v>
      </c>
      <c r="BO301" s="1">
        <v>0.57915509259259257</v>
      </c>
      <c r="BP301" s="3">
        <f t="shared" si="28"/>
        <v>1.0021299823286864</v>
      </c>
      <c r="BQ301" s="3">
        <f t="shared" si="29"/>
        <v>0.99603820953677236</v>
      </c>
    </row>
    <row r="302" spans="1:69" hidden="1" x14ac:dyDescent="0.35">
      <c r="A302">
        <v>300</v>
      </c>
      <c r="B302">
        <v>3747</v>
      </c>
      <c r="D302">
        <v>25</v>
      </c>
      <c r="E302">
        <v>3</v>
      </c>
      <c r="G302">
        <v>16683.3</v>
      </c>
      <c r="I302" t="s">
        <v>62</v>
      </c>
      <c r="L302" t="s">
        <v>1206</v>
      </c>
      <c r="M302">
        <v>9.77</v>
      </c>
      <c r="N302">
        <v>39.76</v>
      </c>
      <c r="O302">
        <v>9.26</v>
      </c>
      <c r="P302" s="3">
        <f t="shared" si="24"/>
        <v>0.94779938587512791</v>
      </c>
      <c r="Q302">
        <v>32.409999999999997</v>
      </c>
      <c r="R302" s="3">
        <f t="shared" si="25"/>
        <v>0.8151408450704225</v>
      </c>
      <c r="S302">
        <v>300</v>
      </c>
      <c r="T302">
        <v>9.5950000000000006</v>
      </c>
      <c r="U302">
        <v>39.24</v>
      </c>
      <c r="V302">
        <v>9.1489999999999991</v>
      </c>
      <c r="W302" s="3">
        <f t="shared" si="26"/>
        <v>0.95351745700885859</v>
      </c>
      <c r="X302">
        <v>31.65</v>
      </c>
      <c r="Y302" s="3">
        <f t="shared" si="27"/>
        <v>0.80657492354740057</v>
      </c>
      <c r="Z302">
        <v>289.60000000000002</v>
      </c>
      <c r="AA302">
        <v>76.900000000000006</v>
      </c>
      <c r="AB302">
        <v>25.2</v>
      </c>
      <c r="AC302" t="s">
        <v>64</v>
      </c>
      <c r="AE302" t="s">
        <v>65</v>
      </c>
      <c r="AF302" t="s">
        <v>66</v>
      </c>
      <c r="AG302" s="2">
        <v>44441</v>
      </c>
      <c r="AH302" s="1">
        <v>0.40966435185185185</v>
      </c>
      <c r="AI302" t="s">
        <v>68</v>
      </c>
      <c r="AJ302" t="s">
        <v>69</v>
      </c>
      <c r="AO302">
        <v>7.758</v>
      </c>
      <c r="AP302">
        <v>40.790999999999997</v>
      </c>
      <c r="AQ302">
        <v>12.8</v>
      </c>
      <c r="AR302">
        <v>1.895</v>
      </c>
      <c r="AS302">
        <v>36.774999999999999</v>
      </c>
      <c r="AT302">
        <v>51.2</v>
      </c>
      <c r="AY302">
        <v>2.36</v>
      </c>
      <c r="AZ302" s="2">
        <v>44410</v>
      </c>
      <c r="BB302" s="2">
        <v>44410</v>
      </c>
      <c r="BD302" t="s">
        <v>68</v>
      </c>
      <c r="BE302" t="s">
        <v>1342</v>
      </c>
      <c r="BF302" t="s">
        <v>1343</v>
      </c>
      <c r="BG302" t="s">
        <v>1344</v>
      </c>
      <c r="BH302">
        <v>0</v>
      </c>
      <c r="BI302">
        <v>1</v>
      </c>
      <c r="BJ302">
        <v>2</v>
      </c>
      <c r="BK302" t="s">
        <v>1345</v>
      </c>
      <c r="BL302">
        <v>8.8620000000000001</v>
      </c>
      <c r="BM302">
        <v>9.0256000000000007</v>
      </c>
      <c r="BN302" s="2">
        <v>42743</v>
      </c>
      <c r="BO302" s="1">
        <v>0.57356481481481481</v>
      </c>
      <c r="BP302" s="3">
        <f t="shared" si="28"/>
        <v>1.0060329972976834</v>
      </c>
      <c r="BQ302" s="3">
        <f t="shared" si="29"/>
        <v>0.98949148288320421</v>
      </c>
    </row>
    <row r="303" spans="1:69" hidden="1" x14ac:dyDescent="0.35">
      <c r="A303">
        <v>301</v>
      </c>
      <c r="B303">
        <v>3747</v>
      </c>
      <c r="D303">
        <v>25</v>
      </c>
      <c r="E303">
        <v>3</v>
      </c>
      <c r="G303">
        <v>16683.3</v>
      </c>
      <c r="I303" t="s">
        <v>62</v>
      </c>
      <c r="L303" t="s">
        <v>1264</v>
      </c>
      <c r="M303">
        <v>9.77</v>
      </c>
      <c r="N303">
        <v>39.76</v>
      </c>
      <c r="O303">
        <v>9.26</v>
      </c>
      <c r="P303" s="3">
        <f t="shared" si="24"/>
        <v>0.94779938587512791</v>
      </c>
      <c r="Q303">
        <v>32.409999999999997</v>
      </c>
      <c r="R303" s="3">
        <f t="shared" si="25"/>
        <v>0.8151408450704225</v>
      </c>
      <c r="S303">
        <v>300</v>
      </c>
      <c r="T303">
        <v>9.5939999999999994</v>
      </c>
      <c r="U303">
        <v>39.29</v>
      </c>
      <c r="V303">
        <v>9.1519999999999992</v>
      </c>
      <c r="W303" s="3">
        <f t="shared" si="26"/>
        <v>0.95392953929539293</v>
      </c>
      <c r="X303">
        <v>31.82</v>
      </c>
      <c r="Y303" s="3">
        <f t="shared" si="27"/>
        <v>0.80987528633240013</v>
      </c>
      <c r="Z303">
        <v>291.2</v>
      </c>
      <c r="AA303">
        <v>77.2</v>
      </c>
      <c r="AB303">
        <v>25.3</v>
      </c>
      <c r="AC303" t="s">
        <v>64</v>
      </c>
      <c r="AE303" t="s">
        <v>65</v>
      </c>
      <c r="AF303" t="s">
        <v>66</v>
      </c>
      <c r="AG303" t="s">
        <v>1105</v>
      </c>
      <c r="AH303" s="1">
        <v>0.5843518518518519</v>
      </c>
      <c r="AI303" t="s">
        <v>68</v>
      </c>
      <c r="AJ303" t="s">
        <v>69</v>
      </c>
      <c r="AO303">
        <v>7.6980000000000004</v>
      </c>
      <c r="AP303">
        <v>41.091000000000001</v>
      </c>
      <c r="AQ303">
        <v>12.8</v>
      </c>
      <c r="AR303">
        <v>1.92</v>
      </c>
      <c r="AS303">
        <v>36.963000000000001</v>
      </c>
      <c r="AT303">
        <v>51.2</v>
      </c>
      <c r="AY303">
        <v>2.36</v>
      </c>
      <c r="AZ303" t="s">
        <v>184</v>
      </c>
      <c r="BB303" t="s">
        <v>184</v>
      </c>
      <c r="BD303" t="s">
        <v>68</v>
      </c>
      <c r="BE303" t="s">
        <v>1346</v>
      </c>
      <c r="BF303" t="s">
        <v>1347</v>
      </c>
      <c r="BG303" t="s">
        <v>1348</v>
      </c>
      <c r="BH303">
        <v>0</v>
      </c>
      <c r="BI303">
        <v>0</v>
      </c>
      <c r="BJ303">
        <v>2</v>
      </c>
      <c r="BK303" t="s">
        <v>1349</v>
      </c>
      <c r="BL303">
        <v>8.8620000000000001</v>
      </c>
      <c r="BM303">
        <v>9.0256000000000007</v>
      </c>
      <c r="BN303" s="2">
        <v>42743</v>
      </c>
      <c r="BO303" s="1">
        <v>0.57356481481481481</v>
      </c>
      <c r="BP303" s="3">
        <f t="shared" si="28"/>
        <v>1.0064677752609059</v>
      </c>
      <c r="BQ303" s="3">
        <f t="shared" si="29"/>
        <v>0.99354030807084948</v>
      </c>
    </row>
    <row r="304" spans="1:69" hidden="1" x14ac:dyDescent="0.35">
      <c r="A304">
        <v>302</v>
      </c>
      <c r="B304">
        <v>3718</v>
      </c>
      <c r="D304">
        <v>25</v>
      </c>
      <c r="E304">
        <v>3</v>
      </c>
      <c r="G304">
        <v>16683.3</v>
      </c>
      <c r="I304" t="s">
        <v>62</v>
      </c>
      <c r="L304" t="s">
        <v>1206</v>
      </c>
      <c r="M304">
        <v>9.77</v>
      </c>
      <c r="N304">
        <v>39.76</v>
      </c>
      <c r="O304">
        <v>9.26</v>
      </c>
      <c r="P304" s="3">
        <f t="shared" si="24"/>
        <v>0.94779938587512791</v>
      </c>
      <c r="Q304">
        <v>32.409999999999997</v>
      </c>
      <c r="R304" s="3">
        <f t="shared" si="25"/>
        <v>0.8151408450704225</v>
      </c>
      <c r="S304">
        <v>300</v>
      </c>
      <c r="T304">
        <v>9.5939999999999994</v>
      </c>
      <c r="U304">
        <v>39.229999999999997</v>
      </c>
      <c r="V304">
        <v>9.15</v>
      </c>
      <c r="W304" s="3">
        <f t="shared" si="26"/>
        <v>0.95372107567229525</v>
      </c>
      <c r="X304">
        <v>31.57</v>
      </c>
      <c r="Y304" s="3">
        <f t="shared" si="27"/>
        <v>0.80474126943665569</v>
      </c>
      <c r="Z304">
        <v>288.8</v>
      </c>
      <c r="AA304">
        <v>76.7</v>
      </c>
      <c r="AB304">
        <v>25.1</v>
      </c>
      <c r="AC304" t="s">
        <v>64</v>
      </c>
      <c r="AE304" t="s">
        <v>65</v>
      </c>
      <c r="AF304" t="s">
        <v>66</v>
      </c>
      <c r="AG304" s="2">
        <v>44441</v>
      </c>
      <c r="AH304" s="1">
        <v>0.40289351851851851</v>
      </c>
      <c r="AI304" t="s">
        <v>68</v>
      </c>
      <c r="AJ304" t="s">
        <v>69</v>
      </c>
      <c r="AO304">
        <v>7.5780000000000003</v>
      </c>
      <c r="AP304">
        <v>40.790999999999997</v>
      </c>
      <c r="AQ304">
        <v>12.8</v>
      </c>
      <c r="AR304">
        <v>1.895</v>
      </c>
      <c r="AS304">
        <v>36.549999999999997</v>
      </c>
      <c r="AT304">
        <v>51.2</v>
      </c>
      <c r="AY304">
        <v>2.36</v>
      </c>
      <c r="AZ304" s="2">
        <v>44410</v>
      </c>
      <c r="BB304" s="2">
        <v>44410</v>
      </c>
      <c r="BD304" t="s">
        <v>68</v>
      </c>
      <c r="BE304" t="s">
        <v>1350</v>
      </c>
      <c r="BF304" t="s">
        <v>1351</v>
      </c>
      <c r="BG304" t="s">
        <v>1352</v>
      </c>
      <c r="BH304">
        <v>0</v>
      </c>
      <c r="BI304">
        <v>0</v>
      </c>
      <c r="BJ304">
        <v>1</v>
      </c>
      <c r="BK304" t="s">
        <v>1353</v>
      </c>
      <c r="BL304">
        <v>8.8620000000000001</v>
      </c>
      <c r="BM304">
        <v>9.0256000000000007</v>
      </c>
      <c r="BN304" s="2">
        <v>42743</v>
      </c>
      <c r="BO304" s="1">
        <v>0.44045138888888891</v>
      </c>
      <c r="BP304" s="3">
        <f t="shared" si="28"/>
        <v>1.0062478303799487</v>
      </c>
      <c r="BQ304" s="3">
        <f t="shared" si="29"/>
        <v>0.98724198928730122</v>
      </c>
    </row>
    <row r="305" spans="1:69" hidden="1" x14ac:dyDescent="0.35">
      <c r="A305">
        <v>303</v>
      </c>
      <c r="B305">
        <v>3752</v>
      </c>
      <c r="D305">
        <v>25</v>
      </c>
      <c r="E305">
        <v>3</v>
      </c>
      <c r="G305">
        <v>16683.3</v>
      </c>
      <c r="I305" t="s">
        <v>62</v>
      </c>
      <c r="L305" t="s">
        <v>1264</v>
      </c>
      <c r="M305">
        <v>9.77</v>
      </c>
      <c r="N305">
        <v>39.76</v>
      </c>
      <c r="O305">
        <v>9.26</v>
      </c>
      <c r="P305" s="3">
        <f t="shared" si="24"/>
        <v>0.94779938587512791</v>
      </c>
      <c r="Q305">
        <v>32.409999999999997</v>
      </c>
      <c r="R305" s="3">
        <f t="shared" si="25"/>
        <v>0.8151408450704225</v>
      </c>
      <c r="S305">
        <v>300</v>
      </c>
      <c r="T305">
        <v>9.6170000000000009</v>
      </c>
      <c r="U305">
        <v>39.380000000000003</v>
      </c>
      <c r="V305">
        <v>9.1370000000000005</v>
      </c>
      <c r="W305" s="3">
        <f t="shared" si="26"/>
        <v>0.95008838515129457</v>
      </c>
      <c r="X305">
        <v>31.98</v>
      </c>
      <c r="Y305" s="3">
        <f t="shared" si="27"/>
        <v>0.81208735398679532</v>
      </c>
      <c r="Z305">
        <v>292.2</v>
      </c>
      <c r="AA305">
        <v>77.2</v>
      </c>
      <c r="AB305">
        <v>24.5</v>
      </c>
      <c r="AC305" t="s">
        <v>64</v>
      </c>
      <c r="AE305" t="s">
        <v>65</v>
      </c>
      <c r="AF305" t="s">
        <v>66</v>
      </c>
      <c r="AG305" t="s">
        <v>1105</v>
      </c>
      <c r="AH305" s="1">
        <v>0.57831018518518518</v>
      </c>
      <c r="AI305" t="s">
        <v>68</v>
      </c>
      <c r="AJ305" t="s">
        <v>69</v>
      </c>
      <c r="AO305">
        <v>7.6929999999999996</v>
      </c>
      <c r="AP305">
        <v>41.165999999999997</v>
      </c>
      <c r="AQ305">
        <v>12.8</v>
      </c>
      <c r="AY305">
        <v>2.36</v>
      </c>
      <c r="AZ305" t="s">
        <v>184</v>
      </c>
      <c r="BB305" t="s">
        <v>184</v>
      </c>
      <c r="BD305" t="s">
        <v>68</v>
      </c>
      <c r="BE305" t="s">
        <v>1354</v>
      </c>
      <c r="BG305" t="s">
        <v>1355</v>
      </c>
      <c r="BH305">
        <v>0</v>
      </c>
      <c r="BI305">
        <v>0</v>
      </c>
      <c r="BJ305">
        <v>1</v>
      </c>
      <c r="BK305" t="s">
        <v>1356</v>
      </c>
      <c r="BL305">
        <v>8.8620000000000001</v>
      </c>
      <c r="BM305">
        <v>9.0256000000000007</v>
      </c>
      <c r="BN305" s="2">
        <v>42743</v>
      </c>
      <c r="BO305" s="1">
        <v>0.56398148148148153</v>
      </c>
      <c r="BP305" s="3">
        <f t="shared" si="28"/>
        <v>1.0024150672708583</v>
      </c>
      <c r="BQ305" s="3">
        <f t="shared" si="29"/>
        <v>0.99625403253671652</v>
      </c>
    </row>
    <row r="306" spans="1:69" hidden="1" x14ac:dyDescent="0.35">
      <c r="A306">
        <v>304</v>
      </c>
      <c r="B306">
        <v>3628</v>
      </c>
      <c r="D306">
        <v>25</v>
      </c>
      <c r="E306">
        <v>4</v>
      </c>
      <c r="G306">
        <v>16700</v>
      </c>
      <c r="I306" t="s">
        <v>182</v>
      </c>
      <c r="L306" t="s">
        <v>183</v>
      </c>
      <c r="M306">
        <v>9.41</v>
      </c>
      <c r="N306">
        <v>38.97</v>
      </c>
      <c r="O306">
        <v>8.84</v>
      </c>
      <c r="P306" s="3">
        <f t="shared" si="24"/>
        <v>0.9394261424017003</v>
      </c>
      <c r="Q306">
        <v>31.67</v>
      </c>
      <c r="R306" s="3">
        <f t="shared" si="25"/>
        <v>0.81267641775724919</v>
      </c>
      <c r="S306">
        <v>280</v>
      </c>
      <c r="T306">
        <v>9.4440000000000008</v>
      </c>
      <c r="U306">
        <v>38.71</v>
      </c>
      <c r="V306">
        <v>8.968</v>
      </c>
      <c r="W306" s="3">
        <f t="shared" si="26"/>
        <v>0.94959762812367632</v>
      </c>
      <c r="X306">
        <v>30.95</v>
      </c>
      <c r="Y306" s="3">
        <f t="shared" si="27"/>
        <v>0.79953500387496768</v>
      </c>
      <c r="Z306">
        <v>277.5</v>
      </c>
      <c r="AA306">
        <v>75.900000000000006</v>
      </c>
      <c r="AB306">
        <v>25.1</v>
      </c>
      <c r="AC306" t="s">
        <v>64</v>
      </c>
      <c r="AE306" t="s">
        <v>65</v>
      </c>
      <c r="AF306" t="s">
        <v>66</v>
      </c>
      <c r="AG306" t="s">
        <v>1105</v>
      </c>
      <c r="AH306" s="1">
        <v>0.54222222222222227</v>
      </c>
      <c r="AI306" t="s">
        <v>68</v>
      </c>
      <c r="AJ306" t="s">
        <v>69</v>
      </c>
      <c r="AO306">
        <v>7.5730000000000004</v>
      </c>
      <c r="AP306">
        <v>40.378</v>
      </c>
      <c r="AQ306">
        <v>25.6</v>
      </c>
      <c r="AR306">
        <v>1.895</v>
      </c>
      <c r="AS306">
        <v>35.911999999999999</v>
      </c>
      <c r="AT306">
        <v>102.6</v>
      </c>
      <c r="AY306">
        <v>2.36</v>
      </c>
      <c r="AZ306" t="s">
        <v>184</v>
      </c>
      <c r="BB306" t="s">
        <v>184</v>
      </c>
      <c r="BD306" t="s">
        <v>68</v>
      </c>
      <c r="BE306" t="s">
        <v>1357</v>
      </c>
      <c r="BF306" t="s">
        <v>1358</v>
      </c>
      <c r="BG306" t="s">
        <v>1359</v>
      </c>
      <c r="BH306">
        <v>0</v>
      </c>
      <c r="BI306">
        <v>0</v>
      </c>
      <c r="BJ306">
        <v>1</v>
      </c>
      <c r="BK306" t="s">
        <v>1360</v>
      </c>
      <c r="BL306">
        <v>8.8620000000000001</v>
      </c>
      <c r="BM306">
        <v>8.8620000000000001</v>
      </c>
      <c r="BN306" t="s">
        <v>1105</v>
      </c>
      <c r="BO306" s="1">
        <v>0.54222222222222227</v>
      </c>
      <c r="BP306" s="3">
        <f t="shared" si="28"/>
        <v>1.0108273394393432</v>
      </c>
      <c r="BQ306" s="3">
        <f t="shared" si="29"/>
        <v>0.98382946324621057</v>
      </c>
    </row>
    <row r="307" spans="1:69" hidden="1" x14ac:dyDescent="0.35">
      <c r="A307">
        <v>305</v>
      </c>
      <c r="B307">
        <v>3734</v>
      </c>
      <c r="D307">
        <v>25</v>
      </c>
      <c r="E307">
        <v>3</v>
      </c>
      <c r="G307">
        <v>16683.3</v>
      </c>
      <c r="I307" t="s">
        <v>62</v>
      </c>
      <c r="L307" t="s">
        <v>1264</v>
      </c>
      <c r="M307">
        <v>9.77</v>
      </c>
      <c r="N307">
        <v>39.76</v>
      </c>
      <c r="O307">
        <v>9.26</v>
      </c>
      <c r="P307" s="3">
        <f t="shared" si="24"/>
        <v>0.94779938587512791</v>
      </c>
      <c r="Q307">
        <v>32.409999999999997</v>
      </c>
      <c r="R307" s="3">
        <f t="shared" si="25"/>
        <v>0.8151408450704225</v>
      </c>
      <c r="S307">
        <v>300</v>
      </c>
      <c r="T307">
        <v>9.5830000000000002</v>
      </c>
      <c r="U307">
        <v>39.31</v>
      </c>
      <c r="V307">
        <v>9.1440000000000001</v>
      </c>
      <c r="W307" s="3">
        <f t="shared" si="26"/>
        <v>0.95418971094646765</v>
      </c>
      <c r="X307">
        <v>31.87</v>
      </c>
      <c r="Y307" s="3">
        <f t="shared" si="27"/>
        <v>0.81073518188756044</v>
      </c>
      <c r="Z307">
        <v>291.5</v>
      </c>
      <c r="AA307">
        <v>77.400000000000006</v>
      </c>
      <c r="AB307">
        <v>25.2</v>
      </c>
      <c r="AC307" t="s">
        <v>64</v>
      </c>
      <c r="AE307" t="s">
        <v>65</v>
      </c>
      <c r="AF307" t="s">
        <v>66</v>
      </c>
      <c r="AG307" t="s">
        <v>1105</v>
      </c>
      <c r="AH307" s="1">
        <v>0.58597222222222223</v>
      </c>
      <c r="AI307" t="s">
        <v>68</v>
      </c>
      <c r="AJ307" t="s">
        <v>69</v>
      </c>
      <c r="AO307">
        <v>7.6980000000000004</v>
      </c>
      <c r="AP307">
        <v>41.036000000000001</v>
      </c>
      <c r="AQ307">
        <v>12.8</v>
      </c>
      <c r="AR307">
        <v>1.925</v>
      </c>
      <c r="AS307">
        <v>36.963000000000001</v>
      </c>
      <c r="AT307">
        <v>51.2</v>
      </c>
      <c r="AY307">
        <v>2.36</v>
      </c>
      <c r="AZ307" t="s">
        <v>184</v>
      </c>
      <c r="BB307" t="s">
        <v>184</v>
      </c>
      <c r="BD307" t="s">
        <v>68</v>
      </c>
      <c r="BE307" t="s">
        <v>1361</v>
      </c>
      <c r="BF307" t="s">
        <v>1362</v>
      </c>
      <c r="BG307" t="s">
        <v>1363</v>
      </c>
      <c r="BH307">
        <v>0</v>
      </c>
      <c r="BI307">
        <v>0</v>
      </c>
      <c r="BJ307">
        <v>1</v>
      </c>
      <c r="BK307" t="s">
        <v>1364</v>
      </c>
      <c r="BL307">
        <v>8.8620000000000001</v>
      </c>
      <c r="BM307">
        <v>9.0256000000000007</v>
      </c>
      <c r="BN307" s="2">
        <v>42743</v>
      </c>
      <c r="BO307" s="1">
        <v>0.40399305555555554</v>
      </c>
      <c r="BP307" s="3">
        <f t="shared" si="28"/>
        <v>1.0067422760201932</v>
      </c>
      <c r="BQ307" s="3">
        <f t="shared" si="29"/>
        <v>0.99459521233722326</v>
      </c>
    </row>
    <row r="308" spans="1:69" hidden="1" x14ac:dyDescent="0.35">
      <c r="A308">
        <v>306</v>
      </c>
      <c r="B308">
        <v>3637</v>
      </c>
      <c r="D308">
        <v>25</v>
      </c>
      <c r="E308">
        <v>4</v>
      </c>
      <c r="G308">
        <v>16700</v>
      </c>
      <c r="I308" t="s">
        <v>182</v>
      </c>
      <c r="L308" t="s">
        <v>1235</v>
      </c>
      <c r="M308">
        <v>9.41</v>
      </c>
      <c r="N308">
        <v>38.97</v>
      </c>
      <c r="O308">
        <v>8.84</v>
      </c>
      <c r="P308" s="3">
        <f t="shared" si="24"/>
        <v>0.9394261424017003</v>
      </c>
      <c r="Q308">
        <v>31.67</v>
      </c>
      <c r="R308" s="3">
        <f t="shared" si="25"/>
        <v>0.81267641775724919</v>
      </c>
      <c r="S308">
        <v>280</v>
      </c>
      <c r="T308">
        <v>9.4659999999999993</v>
      </c>
      <c r="U308">
        <v>38.770000000000003</v>
      </c>
      <c r="V308">
        <v>8.9830000000000005</v>
      </c>
      <c r="W308" s="3">
        <f t="shared" si="26"/>
        <v>0.94897527994929232</v>
      </c>
      <c r="X308">
        <v>31.02</v>
      </c>
      <c r="Y308" s="3">
        <f t="shared" si="27"/>
        <v>0.80010317255609997</v>
      </c>
      <c r="Z308">
        <v>278.60000000000002</v>
      </c>
      <c r="AA308">
        <v>75.900000000000006</v>
      </c>
      <c r="AB308">
        <v>24.9</v>
      </c>
      <c r="AC308" t="s">
        <v>64</v>
      </c>
      <c r="AE308" t="s">
        <v>65</v>
      </c>
      <c r="AF308" t="s">
        <v>66</v>
      </c>
      <c r="AG308" t="s">
        <v>1105</v>
      </c>
      <c r="AH308" s="1">
        <v>0.5466550925925926</v>
      </c>
      <c r="AI308" t="s">
        <v>68</v>
      </c>
      <c r="AJ308" t="s">
        <v>69</v>
      </c>
      <c r="AO308">
        <v>7.5730000000000004</v>
      </c>
      <c r="AP308">
        <v>40.415999999999997</v>
      </c>
      <c r="AQ308">
        <v>25.6</v>
      </c>
      <c r="AR308">
        <v>1.895</v>
      </c>
      <c r="AS308">
        <v>36.024999999999999</v>
      </c>
      <c r="AT308">
        <v>102.6</v>
      </c>
      <c r="AY308">
        <v>2.36</v>
      </c>
      <c r="AZ308" t="s">
        <v>184</v>
      </c>
      <c r="BB308" t="s">
        <v>184</v>
      </c>
      <c r="BD308" t="s">
        <v>68</v>
      </c>
      <c r="BE308" t="s">
        <v>1365</v>
      </c>
      <c r="BF308" t="s">
        <v>1366</v>
      </c>
      <c r="BG308" t="s">
        <v>1367</v>
      </c>
      <c r="BH308">
        <v>0</v>
      </c>
      <c r="BI308">
        <v>0</v>
      </c>
      <c r="BJ308">
        <v>1</v>
      </c>
      <c r="BK308" t="s">
        <v>1368</v>
      </c>
      <c r="BL308">
        <v>8.8620000000000001</v>
      </c>
      <c r="BM308">
        <v>9.0256000000000007</v>
      </c>
      <c r="BN308" t="s">
        <v>1211</v>
      </c>
      <c r="BO308" s="1">
        <v>0.57890046296296294</v>
      </c>
      <c r="BP308" s="3">
        <f t="shared" si="28"/>
        <v>1.0101648624799593</v>
      </c>
      <c r="BQ308" s="3">
        <f t="shared" si="29"/>
        <v>0.98452859597446207</v>
      </c>
    </row>
    <row r="309" spans="1:69" hidden="1" x14ac:dyDescent="0.35">
      <c r="A309">
        <v>307</v>
      </c>
      <c r="B309">
        <v>4554</v>
      </c>
      <c r="D309">
        <v>12</v>
      </c>
      <c r="E309">
        <v>1</v>
      </c>
      <c r="G309">
        <v>19949.900000000001</v>
      </c>
      <c r="I309" t="s">
        <v>62</v>
      </c>
      <c r="L309" t="s">
        <v>1369</v>
      </c>
      <c r="M309">
        <v>9.6199999999999992</v>
      </c>
      <c r="N309">
        <v>47.87</v>
      </c>
      <c r="O309">
        <v>9.25</v>
      </c>
      <c r="P309" s="3">
        <f t="shared" si="24"/>
        <v>0.96153846153846156</v>
      </c>
      <c r="Q309">
        <v>38.94</v>
      </c>
      <c r="R309" s="3">
        <f t="shared" si="25"/>
        <v>0.81345310215166078</v>
      </c>
      <c r="S309">
        <v>360</v>
      </c>
      <c r="T309">
        <v>9.5389999999999997</v>
      </c>
      <c r="U309">
        <v>47.06</v>
      </c>
      <c r="V309">
        <v>9.1259999999999994</v>
      </c>
      <c r="W309" s="3">
        <f t="shared" si="26"/>
        <v>0.9567040570290386</v>
      </c>
      <c r="X309">
        <v>38.31</v>
      </c>
      <c r="Y309" s="3">
        <f t="shared" si="27"/>
        <v>0.81406714832129201</v>
      </c>
      <c r="Z309">
        <v>349.6</v>
      </c>
      <c r="AA309">
        <v>77.900000000000006</v>
      </c>
      <c r="AB309">
        <v>25.1</v>
      </c>
      <c r="AC309" t="s">
        <v>64</v>
      </c>
      <c r="AE309" t="s">
        <v>65</v>
      </c>
      <c r="AF309" t="s">
        <v>66</v>
      </c>
      <c r="AG309" s="2">
        <v>44441</v>
      </c>
      <c r="AH309" s="1">
        <v>0.42171296296296296</v>
      </c>
      <c r="AI309" t="s">
        <v>68</v>
      </c>
      <c r="AJ309" t="s">
        <v>69</v>
      </c>
      <c r="AO309">
        <v>7.6230000000000002</v>
      </c>
      <c r="AP309">
        <v>48.784999999999997</v>
      </c>
      <c r="AQ309">
        <v>12.8</v>
      </c>
      <c r="AR309">
        <v>1.905</v>
      </c>
      <c r="AS309">
        <v>44.131</v>
      </c>
      <c r="AT309">
        <v>51.25</v>
      </c>
      <c r="AZ309" s="2">
        <v>44471</v>
      </c>
      <c r="BB309" s="2">
        <v>44471</v>
      </c>
      <c r="BD309" t="s">
        <v>68</v>
      </c>
      <c r="BE309" t="s">
        <v>1370</v>
      </c>
      <c r="BF309" t="s">
        <v>1371</v>
      </c>
      <c r="BG309" t="s">
        <v>1372</v>
      </c>
      <c r="BH309">
        <v>0</v>
      </c>
      <c r="BI309">
        <v>0</v>
      </c>
      <c r="BJ309">
        <v>2</v>
      </c>
      <c r="BK309" t="s">
        <v>1373</v>
      </c>
      <c r="BL309">
        <v>8.8620000000000001</v>
      </c>
      <c r="BM309">
        <v>8.8620000000000001</v>
      </c>
      <c r="BN309" t="s">
        <v>1374</v>
      </c>
      <c r="BO309" s="1">
        <v>0.3961689814814815</v>
      </c>
      <c r="BP309" s="3">
        <f t="shared" si="28"/>
        <v>0.99497221931020008</v>
      </c>
      <c r="BQ309" s="3">
        <f t="shared" si="29"/>
        <v>1.0007548636399652</v>
      </c>
    </row>
    <row r="310" spans="1:69" hidden="1" x14ac:dyDescent="0.35">
      <c r="A310">
        <v>308</v>
      </c>
      <c r="B310">
        <v>4554</v>
      </c>
      <c r="D310">
        <v>12</v>
      </c>
      <c r="E310">
        <v>1</v>
      </c>
      <c r="G310">
        <v>19949.900000000001</v>
      </c>
      <c r="I310" t="s">
        <v>62</v>
      </c>
      <c r="L310" t="s">
        <v>183</v>
      </c>
      <c r="M310">
        <v>9.6199999999999992</v>
      </c>
      <c r="N310">
        <v>47.87</v>
      </c>
      <c r="O310">
        <v>9.25</v>
      </c>
      <c r="P310" s="3">
        <f t="shared" si="24"/>
        <v>0.96153846153846156</v>
      </c>
      <c r="Q310">
        <v>38.94</v>
      </c>
      <c r="R310" s="3">
        <f t="shared" si="25"/>
        <v>0.81345310215166078</v>
      </c>
      <c r="S310">
        <v>360</v>
      </c>
      <c r="T310">
        <v>9.5670000000000002</v>
      </c>
      <c r="U310">
        <v>47.42</v>
      </c>
      <c r="V310">
        <v>9.1479999999999997</v>
      </c>
      <c r="W310" s="3">
        <f t="shared" si="26"/>
        <v>0.95620361659872477</v>
      </c>
      <c r="X310">
        <v>38.869999999999997</v>
      </c>
      <c r="Y310" s="3">
        <f t="shared" si="27"/>
        <v>0.81969633066216774</v>
      </c>
      <c r="Z310">
        <v>355.6</v>
      </c>
      <c r="AA310">
        <v>78.400000000000006</v>
      </c>
      <c r="AB310">
        <v>25.1</v>
      </c>
      <c r="AC310" t="s">
        <v>64</v>
      </c>
      <c r="AE310" t="s">
        <v>65</v>
      </c>
      <c r="AF310" t="s">
        <v>66</v>
      </c>
      <c r="AG310" t="s">
        <v>1374</v>
      </c>
      <c r="AH310" s="1">
        <v>0.3961689814814815</v>
      </c>
      <c r="AI310" t="s">
        <v>68</v>
      </c>
      <c r="AJ310" t="s">
        <v>69</v>
      </c>
      <c r="AO310">
        <v>7.6980000000000004</v>
      </c>
      <c r="AP310">
        <v>49.460999999999999</v>
      </c>
      <c r="AQ310">
        <v>12.8</v>
      </c>
      <c r="AR310">
        <v>1.92</v>
      </c>
      <c r="AS310">
        <v>44.731999999999999</v>
      </c>
      <c r="AT310">
        <v>51.2</v>
      </c>
      <c r="AY310">
        <v>2.69</v>
      </c>
      <c r="AZ310" t="s">
        <v>1375</v>
      </c>
      <c r="BB310" t="s">
        <v>1375</v>
      </c>
      <c r="BD310" t="s">
        <v>68</v>
      </c>
      <c r="BE310" t="s">
        <v>1376</v>
      </c>
      <c r="BF310" t="s">
        <v>1377</v>
      </c>
      <c r="BG310" t="s">
        <v>1378</v>
      </c>
      <c r="BH310">
        <v>0</v>
      </c>
      <c r="BI310">
        <v>1</v>
      </c>
      <c r="BJ310">
        <v>2</v>
      </c>
      <c r="BK310" t="s">
        <v>1379</v>
      </c>
      <c r="BL310">
        <v>8.8620000000000001</v>
      </c>
      <c r="BM310">
        <v>8.8620000000000001</v>
      </c>
      <c r="BN310" t="s">
        <v>1374</v>
      </c>
      <c r="BO310" s="1">
        <v>0.3961689814814815</v>
      </c>
      <c r="BP310" s="3">
        <f t="shared" si="28"/>
        <v>0.99445176126267376</v>
      </c>
      <c r="BQ310" s="3">
        <f t="shared" si="29"/>
        <v>1.0076749704365169</v>
      </c>
    </row>
    <row r="311" spans="1:69" hidden="1" x14ac:dyDescent="0.35">
      <c r="A311">
        <v>309</v>
      </c>
      <c r="B311">
        <v>4352</v>
      </c>
      <c r="D311">
        <v>12</v>
      </c>
      <c r="E311">
        <v>1</v>
      </c>
      <c r="G311">
        <v>19949.900000000001</v>
      </c>
      <c r="I311" t="s">
        <v>62</v>
      </c>
      <c r="L311" t="s">
        <v>1380</v>
      </c>
      <c r="M311">
        <v>9.6199999999999992</v>
      </c>
      <c r="N311">
        <v>47.87</v>
      </c>
      <c r="O311">
        <v>9.25</v>
      </c>
      <c r="P311" s="3">
        <f t="shared" si="24"/>
        <v>0.96153846153846156</v>
      </c>
      <c r="Q311">
        <v>38.94</v>
      </c>
      <c r="R311" s="3">
        <f t="shared" si="25"/>
        <v>0.81345310215166078</v>
      </c>
      <c r="S311">
        <v>360</v>
      </c>
      <c r="T311">
        <v>9.577</v>
      </c>
      <c r="U311">
        <v>47.27</v>
      </c>
      <c r="V311">
        <v>9.1430000000000007</v>
      </c>
      <c r="W311" s="3">
        <f t="shared" si="26"/>
        <v>0.95468309491490033</v>
      </c>
      <c r="X311">
        <v>38.58</v>
      </c>
      <c r="Y311" s="3">
        <f t="shared" si="27"/>
        <v>0.81616247091178329</v>
      </c>
      <c r="Z311">
        <v>352.8</v>
      </c>
      <c r="AA311">
        <v>77.900000000000006</v>
      </c>
      <c r="AB311">
        <v>24.9</v>
      </c>
      <c r="AC311" t="s">
        <v>64</v>
      </c>
      <c r="AE311" t="s">
        <v>65</v>
      </c>
      <c r="AF311" t="s">
        <v>66</v>
      </c>
      <c r="AG311" s="2">
        <v>44441</v>
      </c>
      <c r="AH311" s="1">
        <v>0.42888888888888888</v>
      </c>
      <c r="AI311" t="s">
        <v>68</v>
      </c>
      <c r="AJ311" t="s">
        <v>69</v>
      </c>
      <c r="AO311">
        <v>7.6280000000000001</v>
      </c>
      <c r="AP311">
        <v>48.935000000000002</v>
      </c>
      <c r="AQ311">
        <v>12.8</v>
      </c>
      <c r="AR311">
        <v>1.9059999999999999</v>
      </c>
      <c r="AS311">
        <v>44.561</v>
      </c>
      <c r="AT311">
        <v>51.25</v>
      </c>
      <c r="AZ311" s="2">
        <v>44471</v>
      </c>
      <c r="BB311" s="2">
        <v>44471</v>
      </c>
      <c r="BD311" t="s">
        <v>68</v>
      </c>
      <c r="BE311" t="s">
        <v>1381</v>
      </c>
      <c r="BF311" t="s">
        <v>1382</v>
      </c>
      <c r="BG311" t="s">
        <v>1383</v>
      </c>
      <c r="BH311">
        <v>0</v>
      </c>
      <c r="BI311">
        <v>0</v>
      </c>
      <c r="BJ311">
        <v>2</v>
      </c>
      <c r="BK311" t="s">
        <v>1384</v>
      </c>
      <c r="BL311">
        <v>8.8620000000000001</v>
      </c>
      <c r="BM311">
        <v>8.8620000000000001</v>
      </c>
      <c r="BN311" s="2">
        <v>43684</v>
      </c>
      <c r="BO311" s="1">
        <v>0.53940972222222228</v>
      </c>
      <c r="BP311" s="3">
        <f t="shared" si="28"/>
        <v>0.99287041871149628</v>
      </c>
      <c r="BQ311" s="3">
        <f t="shared" si="29"/>
        <v>1.0033307006303818</v>
      </c>
    </row>
    <row r="312" spans="1:69" hidden="1" x14ac:dyDescent="0.35">
      <c r="A312">
        <v>310</v>
      </c>
      <c r="B312">
        <v>4352</v>
      </c>
      <c r="D312">
        <v>12</v>
      </c>
      <c r="E312">
        <v>1</v>
      </c>
      <c r="G312">
        <v>19949.900000000001</v>
      </c>
      <c r="I312" t="s">
        <v>62</v>
      </c>
      <c r="L312" t="s">
        <v>1385</v>
      </c>
      <c r="M312">
        <v>9.6199999999999992</v>
      </c>
      <c r="N312">
        <v>47.87</v>
      </c>
      <c r="O312">
        <v>9.25</v>
      </c>
      <c r="P312" s="3">
        <f t="shared" si="24"/>
        <v>0.96153846153846156</v>
      </c>
      <c r="Q312">
        <v>38.94</v>
      </c>
      <c r="R312" s="3">
        <f t="shared" si="25"/>
        <v>0.81345310215166078</v>
      </c>
      <c r="S312">
        <v>360</v>
      </c>
      <c r="T312">
        <v>9.6199999999999992</v>
      </c>
      <c r="U312">
        <v>47.61</v>
      </c>
      <c r="V312">
        <v>9.1980000000000004</v>
      </c>
      <c r="W312" s="3">
        <f t="shared" si="26"/>
        <v>0.95613305613305621</v>
      </c>
      <c r="X312">
        <v>38.9</v>
      </c>
      <c r="Y312" s="3">
        <f t="shared" si="27"/>
        <v>0.81705524049569411</v>
      </c>
      <c r="Z312">
        <v>357.9</v>
      </c>
      <c r="AA312">
        <v>78.099999999999994</v>
      </c>
      <c r="AB312">
        <v>25</v>
      </c>
      <c r="AC312" t="s">
        <v>64</v>
      </c>
      <c r="AE312" t="s">
        <v>65</v>
      </c>
      <c r="AF312" t="s">
        <v>66</v>
      </c>
      <c r="AG312" s="2">
        <v>44107</v>
      </c>
      <c r="AH312" s="1">
        <v>0.46332175925925928</v>
      </c>
      <c r="AI312" t="s">
        <v>68</v>
      </c>
      <c r="AJ312" t="s">
        <v>69</v>
      </c>
      <c r="AO312">
        <v>7.6980000000000004</v>
      </c>
      <c r="AP312">
        <v>49.048000000000002</v>
      </c>
      <c r="AQ312">
        <v>12.8</v>
      </c>
      <c r="AR312">
        <v>1.925</v>
      </c>
      <c r="AS312">
        <v>44.206000000000003</v>
      </c>
      <c r="AT312">
        <v>51.2</v>
      </c>
      <c r="AY312">
        <v>2.69</v>
      </c>
      <c r="AZ312" s="2">
        <v>44138</v>
      </c>
      <c r="BB312" s="2">
        <v>44138</v>
      </c>
      <c r="BD312" t="s">
        <v>68</v>
      </c>
      <c r="BE312" t="s">
        <v>1386</v>
      </c>
      <c r="BF312" t="s">
        <v>1387</v>
      </c>
      <c r="BG312" t="s">
        <v>1388</v>
      </c>
      <c r="BH312">
        <v>0</v>
      </c>
      <c r="BI312">
        <v>1</v>
      </c>
      <c r="BJ312">
        <v>2</v>
      </c>
      <c r="BK312" t="s">
        <v>1389</v>
      </c>
      <c r="BL312">
        <v>8.8620000000000001</v>
      </c>
      <c r="BM312">
        <v>8.8620000000000001</v>
      </c>
      <c r="BN312" s="2">
        <v>43684</v>
      </c>
      <c r="BO312" s="1">
        <v>0.53940972222222228</v>
      </c>
      <c r="BP312" s="3">
        <f t="shared" si="28"/>
        <v>0.99437837837837839</v>
      </c>
      <c r="BQ312" s="3">
        <f t="shared" si="29"/>
        <v>1.0044282065364374</v>
      </c>
    </row>
    <row r="313" spans="1:69" hidden="1" x14ac:dyDescent="0.35">
      <c r="A313">
        <v>311</v>
      </c>
      <c r="B313">
        <v>4278</v>
      </c>
      <c r="D313">
        <v>12</v>
      </c>
      <c r="E313">
        <v>1</v>
      </c>
      <c r="G313">
        <v>19949.900000000001</v>
      </c>
      <c r="I313" t="s">
        <v>62</v>
      </c>
      <c r="L313" t="s">
        <v>1390</v>
      </c>
      <c r="M313">
        <v>9.6199999999999992</v>
      </c>
      <c r="N313">
        <v>47.87</v>
      </c>
      <c r="O313">
        <v>9.25</v>
      </c>
      <c r="P313" s="3">
        <f t="shared" si="24"/>
        <v>0.96153846153846156</v>
      </c>
      <c r="Q313">
        <v>38.94</v>
      </c>
      <c r="R313" s="3">
        <f t="shared" si="25"/>
        <v>0.81345310215166078</v>
      </c>
      <c r="S313">
        <v>360</v>
      </c>
      <c r="T313">
        <v>9.5060000000000002</v>
      </c>
      <c r="U313">
        <v>47.12</v>
      </c>
      <c r="V313">
        <v>9.1080000000000005</v>
      </c>
      <c r="W313" s="3">
        <f t="shared" si="26"/>
        <v>0.95813170629076372</v>
      </c>
      <c r="X313">
        <v>38.47</v>
      </c>
      <c r="Y313" s="3">
        <f t="shared" si="27"/>
        <v>0.81642614601018682</v>
      </c>
      <c r="Z313">
        <v>350.4</v>
      </c>
      <c r="AA313">
        <v>78.2</v>
      </c>
      <c r="AB313">
        <v>25</v>
      </c>
      <c r="AC313" t="s">
        <v>64</v>
      </c>
      <c r="AE313" t="s">
        <v>65</v>
      </c>
      <c r="AF313" t="s">
        <v>66</v>
      </c>
      <c r="AG313" s="2">
        <v>44441</v>
      </c>
      <c r="AH313" s="1">
        <v>0.41789351851851853</v>
      </c>
      <c r="AI313" t="s">
        <v>68</v>
      </c>
      <c r="AJ313" t="s">
        <v>69</v>
      </c>
      <c r="AO313">
        <v>7.6230000000000002</v>
      </c>
      <c r="AP313">
        <v>48.784999999999997</v>
      </c>
      <c r="AQ313">
        <v>12.8</v>
      </c>
      <c r="AR313">
        <v>1.905</v>
      </c>
      <c r="AS313">
        <v>44.168999999999997</v>
      </c>
      <c r="AT313">
        <v>51.25</v>
      </c>
      <c r="AZ313" s="2">
        <v>44471</v>
      </c>
      <c r="BB313" s="2">
        <v>44471</v>
      </c>
      <c r="BD313" t="s">
        <v>68</v>
      </c>
      <c r="BE313" t="s">
        <v>1391</v>
      </c>
      <c r="BF313" t="s">
        <v>1392</v>
      </c>
      <c r="BG313" t="s">
        <v>1393</v>
      </c>
      <c r="BH313">
        <v>0</v>
      </c>
      <c r="BI313">
        <v>0</v>
      </c>
      <c r="BJ313">
        <v>2</v>
      </c>
      <c r="BK313" t="s">
        <v>1394</v>
      </c>
      <c r="BL313">
        <v>8.8620000000000001</v>
      </c>
      <c r="BM313">
        <v>8.8620000000000001</v>
      </c>
      <c r="BN313" t="s">
        <v>844</v>
      </c>
      <c r="BO313" s="1">
        <v>0.47805555555555557</v>
      </c>
      <c r="BP313" s="3">
        <f t="shared" si="28"/>
        <v>0.99645697454239424</v>
      </c>
      <c r="BQ313" s="3">
        <f t="shared" si="29"/>
        <v>1.0036548435929029</v>
      </c>
    </row>
    <row r="314" spans="1:69" hidden="1" x14ac:dyDescent="0.35">
      <c r="A314">
        <v>312</v>
      </c>
      <c r="B314">
        <v>4278</v>
      </c>
      <c r="D314">
        <v>12</v>
      </c>
      <c r="E314">
        <v>1</v>
      </c>
      <c r="G314">
        <v>19949.900000000001</v>
      </c>
      <c r="I314" t="s">
        <v>62</v>
      </c>
      <c r="L314" t="s">
        <v>1395</v>
      </c>
      <c r="M314">
        <v>9.6199999999999992</v>
      </c>
      <c r="N314">
        <v>47.87</v>
      </c>
      <c r="O314">
        <v>9.25</v>
      </c>
      <c r="P314" s="3">
        <f t="shared" si="24"/>
        <v>0.96153846153846156</v>
      </c>
      <c r="Q314">
        <v>38.94</v>
      </c>
      <c r="R314" s="3">
        <f t="shared" si="25"/>
        <v>0.81345310215166078</v>
      </c>
      <c r="S314">
        <v>360</v>
      </c>
      <c r="T314">
        <v>9.5670000000000002</v>
      </c>
      <c r="U314">
        <v>47.21</v>
      </c>
      <c r="V314">
        <v>9.17</v>
      </c>
      <c r="W314" s="3">
        <f t="shared" si="26"/>
        <v>0.95850318804222845</v>
      </c>
      <c r="X314">
        <v>38.700000000000003</v>
      </c>
      <c r="Y314" s="3">
        <f t="shared" si="27"/>
        <v>0.81974158017369203</v>
      </c>
      <c r="Z314">
        <v>354.9</v>
      </c>
      <c r="AA314">
        <v>78.599999999999994</v>
      </c>
      <c r="AB314">
        <v>24.9</v>
      </c>
      <c r="AC314" t="s">
        <v>64</v>
      </c>
      <c r="AE314" t="s">
        <v>65</v>
      </c>
      <c r="AF314" t="s">
        <v>66</v>
      </c>
      <c r="AG314" s="2">
        <v>44107</v>
      </c>
      <c r="AH314" s="1">
        <v>0.4594212962962963</v>
      </c>
      <c r="AI314" t="s">
        <v>68</v>
      </c>
      <c r="AJ314" t="s">
        <v>69</v>
      </c>
      <c r="AO314">
        <v>7.6980000000000004</v>
      </c>
      <c r="AP314">
        <v>48.898000000000003</v>
      </c>
      <c r="AQ314">
        <v>12.8</v>
      </c>
      <c r="AR314">
        <v>1.925</v>
      </c>
      <c r="AS314">
        <v>44.206000000000003</v>
      </c>
      <c r="AT314">
        <v>51.2</v>
      </c>
      <c r="AY314">
        <v>2.69</v>
      </c>
      <c r="AZ314" s="2">
        <v>44138</v>
      </c>
      <c r="BB314" s="2">
        <v>44138</v>
      </c>
      <c r="BD314" t="s">
        <v>68</v>
      </c>
      <c r="BE314" t="s">
        <v>1396</v>
      </c>
      <c r="BF314" t="s">
        <v>1397</v>
      </c>
      <c r="BG314" t="s">
        <v>1398</v>
      </c>
      <c r="BH314">
        <v>0</v>
      </c>
      <c r="BI314">
        <v>1</v>
      </c>
      <c r="BJ314">
        <v>2</v>
      </c>
      <c r="BK314" t="s">
        <v>1399</v>
      </c>
      <c r="BL314">
        <v>8.8620000000000001</v>
      </c>
      <c r="BM314">
        <v>8.8620000000000001</v>
      </c>
      <c r="BN314" t="s">
        <v>844</v>
      </c>
      <c r="BO314" s="1">
        <v>0.47805555555555557</v>
      </c>
      <c r="BP314" s="3">
        <f t="shared" si="28"/>
        <v>0.99684331556391759</v>
      </c>
      <c r="BQ314" s="3">
        <f t="shared" si="29"/>
        <v>1.0077305968904631</v>
      </c>
    </row>
    <row r="315" spans="1:69" hidden="1" x14ac:dyDescent="0.35">
      <c r="A315">
        <v>313</v>
      </c>
      <c r="B315">
        <v>4353</v>
      </c>
      <c r="D315">
        <v>12</v>
      </c>
      <c r="E315">
        <v>1</v>
      </c>
      <c r="G315">
        <v>19949.900000000001</v>
      </c>
      <c r="I315" t="s">
        <v>62</v>
      </c>
      <c r="L315" t="s">
        <v>1380</v>
      </c>
      <c r="M315">
        <v>9.6199999999999992</v>
      </c>
      <c r="N315">
        <v>47.87</v>
      </c>
      <c r="O315">
        <v>9.25</v>
      </c>
      <c r="P315" s="3">
        <f t="shared" si="24"/>
        <v>0.96153846153846156</v>
      </c>
      <c r="Q315">
        <v>38.94</v>
      </c>
      <c r="R315" s="3">
        <f t="shared" si="25"/>
        <v>0.81345310215166078</v>
      </c>
      <c r="S315">
        <v>360</v>
      </c>
      <c r="T315">
        <v>9.516</v>
      </c>
      <c r="U315">
        <v>46.99</v>
      </c>
      <c r="V315">
        <v>9.0850000000000009</v>
      </c>
      <c r="W315" s="3">
        <f t="shared" si="26"/>
        <v>0.95470786044556544</v>
      </c>
      <c r="X315">
        <v>38.4</v>
      </c>
      <c r="Y315" s="3">
        <f t="shared" si="27"/>
        <v>0.8171951479038092</v>
      </c>
      <c r="Z315">
        <v>348.8</v>
      </c>
      <c r="AA315">
        <v>78</v>
      </c>
      <c r="AB315">
        <v>25.3</v>
      </c>
      <c r="AC315" t="s">
        <v>64</v>
      </c>
      <c r="AE315" t="s">
        <v>65</v>
      </c>
      <c r="AF315" t="s">
        <v>66</v>
      </c>
      <c r="AG315" s="2">
        <v>44441</v>
      </c>
      <c r="AH315" s="1">
        <v>0.4208796296296296</v>
      </c>
      <c r="AI315" t="s">
        <v>68</v>
      </c>
      <c r="AJ315" t="s">
        <v>69</v>
      </c>
      <c r="AO315">
        <v>7.6230000000000002</v>
      </c>
      <c r="AP315">
        <v>48.71</v>
      </c>
      <c r="AQ315">
        <v>12.8</v>
      </c>
      <c r="AR315">
        <v>1.9034</v>
      </c>
      <c r="AS315">
        <v>44.055999999999997</v>
      </c>
      <c r="AT315">
        <v>51.25</v>
      </c>
      <c r="AZ315" s="2">
        <v>44471</v>
      </c>
      <c r="BB315" s="2">
        <v>44471</v>
      </c>
      <c r="BD315" t="s">
        <v>68</v>
      </c>
      <c r="BE315" t="s">
        <v>1400</v>
      </c>
      <c r="BF315" t="s">
        <v>1401</v>
      </c>
      <c r="BG315" t="s">
        <v>1402</v>
      </c>
      <c r="BH315">
        <v>0</v>
      </c>
      <c r="BI315">
        <v>0</v>
      </c>
      <c r="BJ315">
        <v>2</v>
      </c>
      <c r="BK315" t="s">
        <v>1403</v>
      </c>
      <c r="BL315">
        <v>8.8620000000000001</v>
      </c>
      <c r="BM315">
        <v>8.8620000000000001</v>
      </c>
      <c r="BN315" s="2">
        <v>43684</v>
      </c>
      <c r="BO315" s="1">
        <v>0.53714120370370366</v>
      </c>
      <c r="BP315" s="3">
        <f t="shared" si="28"/>
        <v>0.99289617486338799</v>
      </c>
      <c r="BQ315" s="3">
        <f t="shared" si="29"/>
        <v>1.0046001985145183</v>
      </c>
    </row>
    <row r="316" spans="1:69" hidden="1" x14ac:dyDescent="0.35">
      <c r="A316">
        <v>314</v>
      </c>
      <c r="B316">
        <v>4353</v>
      </c>
      <c r="D316">
        <v>12</v>
      </c>
      <c r="E316">
        <v>1</v>
      </c>
      <c r="G316">
        <v>19949.900000000001</v>
      </c>
      <c r="I316" t="s">
        <v>62</v>
      </c>
      <c r="L316" t="s">
        <v>1385</v>
      </c>
      <c r="M316">
        <v>9.6199999999999992</v>
      </c>
      <c r="N316">
        <v>47.87</v>
      </c>
      <c r="O316">
        <v>9.25</v>
      </c>
      <c r="P316" s="3">
        <f t="shared" si="24"/>
        <v>0.96153846153846156</v>
      </c>
      <c r="Q316">
        <v>38.94</v>
      </c>
      <c r="R316" s="3">
        <f t="shared" si="25"/>
        <v>0.81345310215166078</v>
      </c>
      <c r="S316">
        <v>360</v>
      </c>
      <c r="T316">
        <v>9.5519999999999996</v>
      </c>
      <c r="U316">
        <v>47.3</v>
      </c>
      <c r="V316">
        <v>9.1270000000000007</v>
      </c>
      <c r="W316" s="3">
        <f t="shared" si="26"/>
        <v>0.95550670016750427</v>
      </c>
      <c r="X316">
        <v>38.770000000000003</v>
      </c>
      <c r="Y316" s="3">
        <f t="shared" si="27"/>
        <v>0.8196617336152221</v>
      </c>
      <c r="Z316">
        <v>353.8</v>
      </c>
      <c r="AA316">
        <v>78.3</v>
      </c>
      <c r="AB316">
        <v>24.6</v>
      </c>
      <c r="AC316" t="s">
        <v>64</v>
      </c>
      <c r="AE316" t="s">
        <v>65</v>
      </c>
      <c r="AF316" t="s">
        <v>66</v>
      </c>
      <c r="AG316" s="2">
        <v>44107</v>
      </c>
      <c r="AH316" s="1">
        <v>0.45266203703703706</v>
      </c>
      <c r="AI316" t="s">
        <v>68</v>
      </c>
      <c r="AJ316" t="s">
        <v>69</v>
      </c>
      <c r="AO316">
        <v>7.6980000000000004</v>
      </c>
      <c r="AP316">
        <v>49.198</v>
      </c>
      <c r="AQ316">
        <v>12.8</v>
      </c>
      <c r="AR316">
        <v>1.925</v>
      </c>
      <c r="AS316">
        <v>44.469000000000001</v>
      </c>
      <c r="AT316">
        <v>51.2</v>
      </c>
      <c r="AY316">
        <v>2.69</v>
      </c>
      <c r="AZ316" s="2">
        <v>44138</v>
      </c>
      <c r="BB316" s="2">
        <v>44138</v>
      </c>
      <c r="BD316" t="s">
        <v>68</v>
      </c>
      <c r="BE316" t="s">
        <v>1404</v>
      </c>
      <c r="BF316" t="s">
        <v>1405</v>
      </c>
      <c r="BG316" t="s">
        <v>1406</v>
      </c>
      <c r="BH316">
        <v>0</v>
      </c>
      <c r="BI316">
        <v>1</v>
      </c>
      <c r="BJ316">
        <v>2</v>
      </c>
      <c r="BK316" t="s">
        <v>1407</v>
      </c>
      <c r="BL316">
        <v>8.8620000000000001</v>
      </c>
      <c r="BM316">
        <v>8.8620000000000001</v>
      </c>
      <c r="BN316" s="2">
        <v>43684</v>
      </c>
      <c r="BO316" s="1">
        <v>0.53714120370370366</v>
      </c>
      <c r="BP316" s="3">
        <f t="shared" si="28"/>
        <v>0.99372696817420447</v>
      </c>
      <c r="BQ316" s="3">
        <f t="shared" si="29"/>
        <v>1.0076324393467047</v>
      </c>
    </row>
    <row r="317" spans="1:69" hidden="1" x14ac:dyDescent="0.35">
      <c r="A317">
        <v>315</v>
      </c>
      <c r="B317">
        <v>4280</v>
      </c>
      <c r="D317">
        <v>12</v>
      </c>
      <c r="E317">
        <v>1</v>
      </c>
      <c r="G317">
        <v>19949.900000000001</v>
      </c>
      <c r="I317" t="s">
        <v>62</v>
      </c>
      <c r="L317" t="s">
        <v>1390</v>
      </c>
      <c r="M317">
        <v>9.6199999999999992</v>
      </c>
      <c r="N317">
        <v>47.87</v>
      </c>
      <c r="O317">
        <v>9.25</v>
      </c>
      <c r="P317" s="3">
        <f t="shared" si="24"/>
        <v>0.96153846153846156</v>
      </c>
      <c r="Q317">
        <v>38.94</v>
      </c>
      <c r="R317" s="3">
        <f t="shared" si="25"/>
        <v>0.81345310215166078</v>
      </c>
      <c r="S317">
        <v>360</v>
      </c>
      <c r="T317">
        <v>9.5359999999999996</v>
      </c>
      <c r="U317">
        <v>47.08</v>
      </c>
      <c r="V317">
        <v>9.1370000000000005</v>
      </c>
      <c r="W317" s="3">
        <f t="shared" si="26"/>
        <v>0.95815855704697994</v>
      </c>
      <c r="X317">
        <v>38.46</v>
      </c>
      <c r="Y317" s="3">
        <f t="shared" si="27"/>
        <v>0.81690739167374682</v>
      </c>
      <c r="Z317">
        <v>351.4</v>
      </c>
      <c r="AA317">
        <v>78.3</v>
      </c>
      <c r="AB317">
        <v>24.7</v>
      </c>
      <c r="AC317" t="s">
        <v>64</v>
      </c>
      <c r="AE317" t="s">
        <v>65</v>
      </c>
      <c r="AF317" t="s">
        <v>66</v>
      </c>
      <c r="AG317" s="2">
        <v>44441</v>
      </c>
      <c r="AH317" s="1">
        <v>0.42670138888888887</v>
      </c>
      <c r="AI317" t="s">
        <v>68</v>
      </c>
      <c r="AJ317" t="s">
        <v>69</v>
      </c>
      <c r="AO317">
        <v>7.6280000000000001</v>
      </c>
      <c r="AP317">
        <v>48.784999999999997</v>
      </c>
      <c r="AQ317">
        <v>12.8</v>
      </c>
      <c r="AR317">
        <v>1.91</v>
      </c>
      <c r="AS317">
        <v>44.139000000000003</v>
      </c>
      <c r="AT317">
        <v>51.25</v>
      </c>
      <c r="AY317">
        <v>2.69</v>
      </c>
      <c r="AZ317" s="2">
        <v>44471</v>
      </c>
      <c r="BB317" s="2">
        <v>44471</v>
      </c>
      <c r="BD317" t="s">
        <v>68</v>
      </c>
      <c r="BE317" t="s">
        <v>1408</v>
      </c>
      <c r="BF317" t="s">
        <v>1409</v>
      </c>
      <c r="BG317" t="s">
        <v>1410</v>
      </c>
      <c r="BH317">
        <v>0</v>
      </c>
      <c r="BI317">
        <v>0</v>
      </c>
      <c r="BJ317">
        <v>2</v>
      </c>
      <c r="BK317" t="s">
        <v>1411</v>
      </c>
      <c r="BL317">
        <v>8.8620000000000001</v>
      </c>
      <c r="BM317">
        <v>8.8620000000000001</v>
      </c>
      <c r="BN317" t="s">
        <v>844</v>
      </c>
      <c r="BO317" s="1">
        <v>0.48356481481481484</v>
      </c>
      <c r="BP317" s="3">
        <f t="shared" si="28"/>
        <v>0.99648489932885909</v>
      </c>
      <c r="BQ317" s="3">
        <f t="shared" si="29"/>
        <v>1.0042464519625645</v>
      </c>
    </row>
    <row r="318" spans="1:69" hidden="1" x14ac:dyDescent="0.35">
      <c r="A318">
        <v>316</v>
      </c>
      <c r="B318">
        <v>4280</v>
      </c>
      <c r="D318">
        <v>12</v>
      </c>
      <c r="E318">
        <v>1</v>
      </c>
      <c r="G318">
        <v>19949.900000000001</v>
      </c>
      <c r="I318" t="s">
        <v>62</v>
      </c>
      <c r="L318" t="s">
        <v>1395</v>
      </c>
      <c r="M318">
        <v>9.6199999999999992</v>
      </c>
      <c r="N318">
        <v>47.87</v>
      </c>
      <c r="O318">
        <v>9.25</v>
      </c>
      <c r="P318" s="3">
        <f t="shared" si="24"/>
        <v>0.96153846153846156</v>
      </c>
      <c r="Q318">
        <v>38.94</v>
      </c>
      <c r="R318" s="3">
        <f t="shared" si="25"/>
        <v>0.81345310215166078</v>
      </c>
      <c r="S318">
        <v>360</v>
      </c>
      <c r="T318">
        <v>9.6039999999999992</v>
      </c>
      <c r="U318">
        <v>47.25</v>
      </c>
      <c r="V318">
        <v>9.1859999999999999</v>
      </c>
      <c r="W318" s="3">
        <f t="shared" si="26"/>
        <v>0.9564764681382758</v>
      </c>
      <c r="X318">
        <v>38.58</v>
      </c>
      <c r="Y318" s="3">
        <f t="shared" si="27"/>
        <v>0.81650793650793652</v>
      </c>
      <c r="Z318">
        <v>354.3</v>
      </c>
      <c r="AA318">
        <v>78.099999999999994</v>
      </c>
      <c r="AB318">
        <v>25</v>
      </c>
      <c r="AC318" t="s">
        <v>64</v>
      </c>
      <c r="AE318" t="s">
        <v>65</v>
      </c>
      <c r="AF318" t="s">
        <v>66</v>
      </c>
      <c r="AG318" s="2">
        <v>44107</v>
      </c>
      <c r="AH318" s="1">
        <v>0.46027777777777779</v>
      </c>
      <c r="AI318" t="s">
        <v>68</v>
      </c>
      <c r="AJ318" t="s">
        <v>69</v>
      </c>
      <c r="AO318">
        <v>7.6980000000000004</v>
      </c>
      <c r="AP318">
        <v>48.847999999999999</v>
      </c>
      <c r="AQ318">
        <v>12.8</v>
      </c>
      <c r="AR318">
        <v>1.925</v>
      </c>
      <c r="AS318">
        <v>44.094000000000001</v>
      </c>
      <c r="AT318">
        <v>51.2</v>
      </c>
      <c r="AY318">
        <v>2.69</v>
      </c>
      <c r="AZ318" s="2">
        <v>44138</v>
      </c>
      <c r="BB318" s="2">
        <v>44138</v>
      </c>
      <c r="BD318" t="s">
        <v>68</v>
      </c>
      <c r="BE318" t="s">
        <v>1412</v>
      </c>
      <c r="BF318" t="s">
        <v>1413</v>
      </c>
      <c r="BG318" t="s">
        <v>1414</v>
      </c>
      <c r="BH318">
        <v>0</v>
      </c>
      <c r="BI318">
        <v>1</v>
      </c>
      <c r="BJ318">
        <v>2</v>
      </c>
      <c r="BK318" t="s">
        <v>1415</v>
      </c>
      <c r="BL318">
        <v>8.8620000000000001</v>
      </c>
      <c r="BM318">
        <v>8.8620000000000001</v>
      </c>
      <c r="BN318" t="s">
        <v>844</v>
      </c>
      <c r="BO318" s="1">
        <v>0.48356481481481484</v>
      </c>
      <c r="BP318" s="3">
        <f t="shared" si="28"/>
        <v>0.99473552686380684</v>
      </c>
      <c r="BQ318" s="3">
        <f t="shared" si="29"/>
        <v>1.0037553908740349</v>
      </c>
    </row>
    <row r="319" spans="1:69" hidden="1" x14ac:dyDescent="0.35">
      <c r="A319">
        <v>317</v>
      </c>
      <c r="B319">
        <v>4279</v>
      </c>
      <c r="D319">
        <v>12</v>
      </c>
      <c r="E319">
        <v>1</v>
      </c>
      <c r="G319">
        <v>19949.900000000001</v>
      </c>
      <c r="I319" t="s">
        <v>62</v>
      </c>
      <c r="L319" t="s">
        <v>1390</v>
      </c>
      <c r="M319">
        <v>9.6199999999999992</v>
      </c>
      <c r="N319">
        <v>47.87</v>
      </c>
      <c r="O319">
        <v>9.25</v>
      </c>
      <c r="P319" s="3">
        <f t="shared" si="24"/>
        <v>0.96153846153846156</v>
      </c>
      <c r="Q319">
        <v>38.94</v>
      </c>
      <c r="R319" s="3">
        <f t="shared" si="25"/>
        <v>0.81345310215166078</v>
      </c>
      <c r="S319">
        <v>360</v>
      </c>
      <c r="T319">
        <v>9.5299999999999994</v>
      </c>
      <c r="U319">
        <v>47.2</v>
      </c>
      <c r="V319">
        <v>9.1150000000000002</v>
      </c>
      <c r="W319" s="3">
        <f t="shared" si="26"/>
        <v>0.95645330535152162</v>
      </c>
      <c r="X319">
        <v>38.630000000000003</v>
      </c>
      <c r="Y319" s="3">
        <f t="shared" si="27"/>
        <v>0.81843220338983047</v>
      </c>
      <c r="Z319">
        <v>352.1</v>
      </c>
      <c r="AA319">
        <v>78.3</v>
      </c>
      <c r="AB319">
        <v>24.9</v>
      </c>
      <c r="AC319" t="s">
        <v>64</v>
      </c>
      <c r="AE319" t="s">
        <v>65</v>
      </c>
      <c r="AF319" t="s">
        <v>66</v>
      </c>
      <c r="AG319" s="2">
        <v>44441</v>
      </c>
      <c r="AH319" s="1">
        <v>0.42961805555555554</v>
      </c>
      <c r="AI319" t="s">
        <v>68</v>
      </c>
      <c r="AJ319" t="s">
        <v>69</v>
      </c>
      <c r="AO319">
        <v>7.6230000000000002</v>
      </c>
      <c r="AP319">
        <v>49.048000000000002</v>
      </c>
      <c r="AQ319">
        <v>12.8</v>
      </c>
      <c r="AR319">
        <v>1.905</v>
      </c>
      <c r="AS319">
        <v>44.506999999999998</v>
      </c>
      <c r="AT319">
        <v>51.25</v>
      </c>
      <c r="AY319">
        <v>2.69</v>
      </c>
      <c r="AZ319" s="2">
        <v>44471</v>
      </c>
      <c r="BB319" s="2">
        <v>44471</v>
      </c>
      <c r="BD319" t="s">
        <v>68</v>
      </c>
      <c r="BE319" t="s">
        <v>1416</v>
      </c>
      <c r="BF319" t="s">
        <v>1417</v>
      </c>
      <c r="BG319" t="s">
        <v>1418</v>
      </c>
      <c r="BH319">
        <v>0</v>
      </c>
      <c r="BI319">
        <v>0</v>
      </c>
      <c r="BJ319">
        <v>2</v>
      </c>
      <c r="BK319" t="s">
        <v>1419</v>
      </c>
      <c r="BL319">
        <v>8.8620000000000001</v>
      </c>
      <c r="BM319">
        <v>8.8620000000000001</v>
      </c>
      <c r="BN319" t="s">
        <v>844</v>
      </c>
      <c r="BO319" s="1">
        <v>0.48090277777777779</v>
      </c>
      <c r="BP319" s="3">
        <f t="shared" si="28"/>
        <v>0.99471143756558245</v>
      </c>
      <c r="BQ319" s="3">
        <f t="shared" si="29"/>
        <v>1.0061209444342882</v>
      </c>
    </row>
    <row r="320" spans="1:69" hidden="1" x14ac:dyDescent="0.35">
      <c r="A320">
        <v>318</v>
      </c>
      <c r="B320">
        <v>4279</v>
      </c>
      <c r="D320">
        <v>12</v>
      </c>
      <c r="E320">
        <v>1</v>
      </c>
      <c r="G320">
        <v>19949.900000000001</v>
      </c>
      <c r="I320" t="s">
        <v>62</v>
      </c>
      <c r="L320" t="s">
        <v>1395</v>
      </c>
      <c r="M320">
        <v>9.6199999999999992</v>
      </c>
      <c r="N320">
        <v>47.87</v>
      </c>
      <c r="O320">
        <v>9.25</v>
      </c>
      <c r="P320" s="3">
        <f t="shared" si="24"/>
        <v>0.96153846153846156</v>
      </c>
      <c r="Q320">
        <v>38.94</v>
      </c>
      <c r="R320" s="3">
        <f t="shared" si="25"/>
        <v>0.81345310215166078</v>
      </c>
      <c r="S320">
        <v>360</v>
      </c>
      <c r="T320">
        <v>9.58</v>
      </c>
      <c r="U320">
        <v>47.23</v>
      </c>
      <c r="V320">
        <v>9.16</v>
      </c>
      <c r="W320" s="3">
        <f t="shared" si="26"/>
        <v>0.95615866388308979</v>
      </c>
      <c r="X320">
        <v>38.67</v>
      </c>
      <c r="Y320" s="3">
        <f t="shared" si="27"/>
        <v>0.81875926318018222</v>
      </c>
      <c r="Z320">
        <v>354.2</v>
      </c>
      <c r="AA320">
        <v>78.3</v>
      </c>
      <c r="AB320">
        <v>25</v>
      </c>
      <c r="AC320" t="s">
        <v>64</v>
      </c>
      <c r="AE320" t="s">
        <v>65</v>
      </c>
      <c r="AF320" t="s">
        <v>66</v>
      </c>
      <c r="AG320" s="2">
        <v>44107</v>
      </c>
      <c r="AH320" s="1">
        <v>0.46546296296296297</v>
      </c>
      <c r="AI320" t="s">
        <v>68</v>
      </c>
      <c r="AJ320" t="s">
        <v>69</v>
      </c>
      <c r="AO320">
        <v>7.6980000000000004</v>
      </c>
      <c r="AP320">
        <v>47.997</v>
      </c>
      <c r="AQ320">
        <v>12.8</v>
      </c>
      <c r="AR320">
        <v>1.925</v>
      </c>
      <c r="AS320">
        <v>43.456000000000003</v>
      </c>
      <c r="AT320">
        <v>51.2</v>
      </c>
      <c r="AY320">
        <v>2.69</v>
      </c>
      <c r="AZ320" s="2">
        <v>44138</v>
      </c>
      <c r="BB320" s="2">
        <v>44138</v>
      </c>
      <c r="BD320" t="s">
        <v>68</v>
      </c>
      <c r="BE320" t="s">
        <v>1420</v>
      </c>
      <c r="BF320" t="s">
        <v>1421</v>
      </c>
      <c r="BG320" t="s">
        <v>1422</v>
      </c>
      <c r="BH320">
        <v>0</v>
      </c>
      <c r="BI320">
        <v>1</v>
      </c>
      <c r="BJ320">
        <v>2</v>
      </c>
      <c r="BK320" t="s">
        <v>1423</v>
      </c>
      <c r="BL320">
        <v>8.8620000000000001</v>
      </c>
      <c r="BM320">
        <v>8.8620000000000001</v>
      </c>
      <c r="BN320" t="s">
        <v>844</v>
      </c>
      <c r="BO320" s="1">
        <v>0.48090277777777779</v>
      </c>
      <c r="BP320" s="3">
        <f t="shared" si="28"/>
        <v>0.99440501043841334</v>
      </c>
      <c r="BQ320" s="3">
        <f t="shared" si="29"/>
        <v>1.0065230079207839</v>
      </c>
    </row>
    <row r="321" spans="1:69" hidden="1" x14ac:dyDescent="0.35">
      <c r="A321">
        <v>319</v>
      </c>
      <c r="B321">
        <v>4550</v>
      </c>
      <c r="D321">
        <v>12</v>
      </c>
      <c r="E321">
        <v>1</v>
      </c>
      <c r="G321">
        <v>19949.900000000001</v>
      </c>
      <c r="I321" t="s">
        <v>62</v>
      </c>
      <c r="L321" t="s">
        <v>1369</v>
      </c>
      <c r="M321">
        <v>9.6199999999999992</v>
      </c>
      <c r="N321">
        <v>47.87</v>
      </c>
      <c r="O321">
        <v>9.25</v>
      </c>
      <c r="P321" s="3">
        <f t="shared" si="24"/>
        <v>0.96153846153846156</v>
      </c>
      <c r="Q321">
        <v>38.94</v>
      </c>
      <c r="R321" s="3">
        <f t="shared" si="25"/>
        <v>0.81345310215166078</v>
      </c>
      <c r="S321">
        <v>360</v>
      </c>
      <c r="T321">
        <v>9.5549999999999997</v>
      </c>
      <c r="U321">
        <v>46.79</v>
      </c>
      <c r="V321">
        <v>9.1319999999999997</v>
      </c>
      <c r="W321" s="3">
        <f t="shared" si="26"/>
        <v>0.95572998430141287</v>
      </c>
      <c r="X321">
        <v>38.130000000000003</v>
      </c>
      <c r="Y321" s="3">
        <f t="shared" si="27"/>
        <v>0.81491771746099606</v>
      </c>
      <c r="Z321">
        <v>348.3</v>
      </c>
      <c r="AA321">
        <v>77.900000000000006</v>
      </c>
      <c r="AB321">
        <v>24.9</v>
      </c>
      <c r="AC321" t="s">
        <v>64</v>
      </c>
      <c r="AE321" t="s">
        <v>65</v>
      </c>
      <c r="AF321" t="s">
        <v>66</v>
      </c>
      <c r="AG321" s="2">
        <v>44441</v>
      </c>
      <c r="AH321" s="1">
        <v>0.42324074074074075</v>
      </c>
      <c r="AI321" t="s">
        <v>68</v>
      </c>
      <c r="AJ321" t="s">
        <v>69</v>
      </c>
      <c r="AO321">
        <v>7.6230000000000002</v>
      </c>
      <c r="AP321">
        <v>48.447000000000003</v>
      </c>
      <c r="AQ321">
        <v>12.8</v>
      </c>
      <c r="AR321">
        <v>1.905</v>
      </c>
      <c r="AS321">
        <v>43.905999999999999</v>
      </c>
      <c r="AT321">
        <v>51.25</v>
      </c>
      <c r="AZ321" s="2">
        <v>44471</v>
      </c>
      <c r="BB321" s="2">
        <v>44471</v>
      </c>
      <c r="BD321" t="s">
        <v>68</v>
      </c>
      <c r="BE321" t="s">
        <v>1424</v>
      </c>
      <c r="BF321" t="s">
        <v>1425</v>
      </c>
      <c r="BG321" t="s">
        <v>1426</v>
      </c>
      <c r="BH321">
        <v>0</v>
      </c>
      <c r="BI321">
        <v>0</v>
      </c>
      <c r="BJ321">
        <v>2</v>
      </c>
      <c r="BK321" t="s">
        <v>1427</v>
      </c>
      <c r="BL321">
        <v>8.8620000000000001</v>
      </c>
      <c r="BM321">
        <v>8.8620000000000001</v>
      </c>
      <c r="BN321" t="s">
        <v>1374</v>
      </c>
      <c r="BO321" s="1">
        <v>0.39082175925925927</v>
      </c>
      <c r="BP321" s="3">
        <f t="shared" si="28"/>
        <v>0.99395918367346936</v>
      </c>
      <c r="BQ321" s="3">
        <f t="shared" si="29"/>
        <v>1.0018004913933714</v>
      </c>
    </row>
    <row r="322" spans="1:69" hidden="1" x14ac:dyDescent="0.35">
      <c r="A322">
        <v>320</v>
      </c>
      <c r="B322">
        <v>4550</v>
      </c>
      <c r="D322">
        <v>12</v>
      </c>
      <c r="E322">
        <v>1</v>
      </c>
      <c r="G322">
        <v>19949.900000000001</v>
      </c>
      <c r="I322" t="s">
        <v>62</v>
      </c>
      <c r="L322" t="s">
        <v>183</v>
      </c>
      <c r="M322">
        <v>9.6199999999999992</v>
      </c>
      <c r="N322">
        <v>47.87</v>
      </c>
      <c r="O322">
        <v>9.25</v>
      </c>
      <c r="P322" s="3">
        <f t="shared" si="24"/>
        <v>0.96153846153846156</v>
      </c>
      <c r="Q322">
        <v>38.94</v>
      </c>
      <c r="R322" s="3">
        <f t="shared" si="25"/>
        <v>0.81345310215166078</v>
      </c>
      <c r="S322">
        <v>360</v>
      </c>
      <c r="T322">
        <v>9.5739999999999998</v>
      </c>
      <c r="U322">
        <v>47.22</v>
      </c>
      <c r="V322">
        <v>9.1590000000000007</v>
      </c>
      <c r="W322" s="3">
        <f t="shared" si="26"/>
        <v>0.9566534363902236</v>
      </c>
      <c r="X322">
        <v>38.78</v>
      </c>
      <c r="Y322" s="3">
        <f t="shared" si="27"/>
        <v>0.82126217704362559</v>
      </c>
      <c r="Z322">
        <v>355.2</v>
      </c>
      <c r="AA322">
        <v>78.599999999999994</v>
      </c>
      <c r="AB322">
        <v>25</v>
      </c>
      <c r="AC322" t="s">
        <v>64</v>
      </c>
      <c r="AE322" t="s">
        <v>65</v>
      </c>
      <c r="AF322" t="s">
        <v>66</v>
      </c>
      <c r="AG322" t="s">
        <v>1374</v>
      </c>
      <c r="AH322" s="1">
        <v>0.39082175925925927</v>
      </c>
      <c r="AI322" t="s">
        <v>68</v>
      </c>
      <c r="AJ322" t="s">
        <v>69</v>
      </c>
      <c r="AO322">
        <v>7.6980000000000004</v>
      </c>
      <c r="AP322">
        <v>49.198</v>
      </c>
      <c r="AQ322">
        <v>12.8</v>
      </c>
      <c r="AR322">
        <v>1.925</v>
      </c>
      <c r="AS322">
        <v>44.543999999999997</v>
      </c>
      <c r="AT322">
        <v>51.2</v>
      </c>
      <c r="AY322">
        <v>2.69</v>
      </c>
      <c r="AZ322" t="s">
        <v>1375</v>
      </c>
      <c r="BB322" t="s">
        <v>1375</v>
      </c>
      <c r="BD322" t="s">
        <v>68</v>
      </c>
      <c r="BE322" t="s">
        <v>1428</v>
      </c>
      <c r="BF322" t="s">
        <v>1429</v>
      </c>
      <c r="BG322" t="s">
        <v>1430</v>
      </c>
      <c r="BH322">
        <v>0</v>
      </c>
      <c r="BI322">
        <v>1</v>
      </c>
      <c r="BJ322">
        <v>2</v>
      </c>
      <c r="BK322" t="s">
        <v>1431</v>
      </c>
      <c r="BL322">
        <v>8.8620000000000001</v>
      </c>
      <c r="BM322">
        <v>8.8620000000000001</v>
      </c>
      <c r="BN322" t="s">
        <v>1374</v>
      </c>
      <c r="BO322" s="1">
        <v>0.39082175925925927</v>
      </c>
      <c r="BP322" s="3">
        <f t="shared" si="28"/>
        <v>0.99491957384583252</v>
      </c>
      <c r="BQ322" s="3">
        <f t="shared" si="29"/>
        <v>1.0095999079372973</v>
      </c>
    </row>
    <row r="323" spans="1:69" hidden="1" x14ac:dyDescent="0.35">
      <c r="A323">
        <v>321</v>
      </c>
      <c r="B323">
        <v>4349</v>
      </c>
      <c r="D323">
        <v>12</v>
      </c>
      <c r="E323">
        <v>1</v>
      </c>
      <c r="G323">
        <v>19949.900000000001</v>
      </c>
      <c r="I323" t="s">
        <v>62</v>
      </c>
      <c r="L323" t="s">
        <v>1380</v>
      </c>
      <c r="M323">
        <v>9.6199999999999992</v>
      </c>
      <c r="N323">
        <v>47.87</v>
      </c>
      <c r="O323">
        <v>9.25</v>
      </c>
      <c r="P323" s="3">
        <f t="shared" ref="P323:P386" si="30">O323/M323</f>
        <v>0.96153846153846156</v>
      </c>
      <c r="Q323">
        <v>38.94</v>
      </c>
      <c r="R323" s="3">
        <f t="shared" ref="R323:R386" si="31">Q323/N323</f>
        <v>0.81345310215166078</v>
      </c>
      <c r="S323">
        <v>360</v>
      </c>
      <c r="T323">
        <v>9.5289999999999999</v>
      </c>
      <c r="U323">
        <v>47.2</v>
      </c>
      <c r="V323">
        <v>9.1240000000000006</v>
      </c>
      <c r="W323" s="3">
        <f t="shared" ref="W323:W386" si="32">V323/T323</f>
        <v>0.95749816350089212</v>
      </c>
      <c r="X323">
        <v>38.64</v>
      </c>
      <c r="Y323" s="3">
        <f t="shared" ref="Y323:Y386" si="33">X323/U323</f>
        <v>0.81864406779661014</v>
      </c>
      <c r="Z323">
        <v>352.6</v>
      </c>
      <c r="AA323">
        <v>78.400000000000006</v>
      </c>
      <c r="AB323">
        <v>24.8</v>
      </c>
      <c r="AC323" t="s">
        <v>64</v>
      </c>
      <c r="AE323" t="s">
        <v>65</v>
      </c>
      <c r="AF323" t="s">
        <v>66</v>
      </c>
      <c r="AG323" s="2">
        <v>44441</v>
      </c>
      <c r="AH323" s="1">
        <v>0.42505787037037035</v>
      </c>
      <c r="AI323" t="s">
        <v>68</v>
      </c>
      <c r="AJ323" t="s">
        <v>69</v>
      </c>
      <c r="AO323">
        <v>7.6280000000000001</v>
      </c>
      <c r="AP323">
        <v>48.86</v>
      </c>
      <c r="AQ323">
        <v>12.8</v>
      </c>
      <c r="AR323">
        <v>1.905</v>
      </c>
      <c r="AS323">
        <v>44.244</v>
      </c>
      <c r="AT323">
        <v>51.25</v>
      </c>
      <c r="AY323">
        <v>2.69</v>
      </c>
      <c r="AZ323" s="2">
        <v>44471</v>
      </c>
      <c r="BB323" s="2">
        <v>44471</v>
      </c>
      <c r="BD323" t="s">
        <v>68</v>
      </c>
      <c r="BE323" t="s">
        <v>1432</v>
      </c>
      <c r="BF323" t="s">
        <v>1433</v>
      </c>
      <c r="BG323" t="s">
        <v>1434</v>
      </c>
      <c r="BH323">
        <v>0</v>
      </c>
      <c r="BI323">
        <v>0</v>
      </c>
      <c r="BJ323">
        <v>2</v>
      </c>
      <c r="BK323" t="s">
        <v>1435</v>
      </c>
      <c r="BL323">
        <v>8.8620000000000001</v>
      </c>
      <c r="BM323">
        <v>8.8620000000000001</v>
      </c>
      <c r="BN323" s="2">
        <v>43684</v>
      </c>
      <c r="BO323" s="1">
        <v>0.54410879629629627</v>
      </c>
      <c r="BP323" s="3">
        <f t="shared" ref="BP323:BP386" si="34">W323/P323</f>
        <v>0.99579809004092779</v>
      </c>
      <c r="BQ323" s="3">
        <f t="shared" ref="BQ323:BQ386" si="35">Y323/R323</f>
        <v>1.0063813951058995</v>
      </c>
    </row>
    <row r="324" spans="1:69" hidden="1" x14ac:dyDescent="0.35">
      <c r="A324">
        <v>322</v>
      </c>
      <c r="B324">
        <v>4349</v>
      </c>
      <c r="D324">
        <v>12</v>
      </c>
      <c r="E324">
        <v>1</v>
      </c>
      <c r="G324">
        <v>19949.900000000001</v>
      </c>
      <c r="I324" t="s">
        <v>62</v>
      </c>
      <c r="L324" t="s">
        <v>1385</v>
      </c>
      <c r="M324">
        <v>9.6199999999999992</v>
      </c>
      <c r="N324">
        <v>47.87</v>
      </c>
      <c r="O324">
        <v>9.25</v>
      </c>
      <c r="P324" s="3">
        <f t="shared" si="30"/>
        <v>0.96153846153846156</v>
      </c>
      <c r="Q324">
        <v>38.94</v>
      </c>
      <c r="R324" s="3">
        <f t="shared" si="31"/>
        <v>0.81345310215166078</v>
      </c>
      <c r="S324">
        <v>360</v>
      </c>
      <c r="T324">
        <v>9.5760000000000005</v>
      </c>
      <c r="U324">
        <v>47.32</v>
      </c>
      <c r="V324">
        <v>9.1579999999999995</v>
      </c>
      <c r="W324" s="3">
        <f t="shared" si="32"/>
        <v>0.95634920634920628</v>
      </c>
      <c r="X324">
        <v>38.74</v>
      </c>
      <c r="Y324" s="3">
        <f t="shared" si="33"/>
        <v>0.81868131868131877</v>
      </c>
      <c r="Z324">
        <v>354.7</v>
      </c>
      <c r="AA324">
        <v>78.3</v>
      </c>
      <c r="AB324">
        <v>24.8</v>
      </c>
      <c r="AC324" t="s">
        <v>64</v>
      </c>
      <c r="AE324" t="s">
        <v>65</v>
      </c>
      <c r="AF324" t="s">
        <v>66</v>
      </c>
      <c r="AG324" s="2">
        <v>44107</v>
      </c>
      <c r="AH324" s="1">
        <v>0.45743055555555556</v>
      </c>
      <c r="AI324" t="s">
        <v>68</v>
      </c>
      <c r="AJ324" t="s">
        <v>69</v>
      </c>
      <c r="AO324">
        <v>7.6980000000000004</v>
      </c>
      <c r="AP324">
        <v>49.122999999999998</v>
      </c>
      <c r="AQ324">
        <v>12.8</v>
      </c>
      <c r="AR324">
        <v>1.92</v>
      </c>
      <c r="AS324">
        <v>44.319000000000003</v>
      </c>
      <c r="AT324">
        <v>51.2</v>
      </c>
      <c r="AY324">
        <v>2.69</v>
      </c>
      <c r="AZ324" s="2">
        <v>44138</v>
      </c>
      <c r="BB324" s="2">
        <v>44138</v>
      </c>
      <c r="BD324" t="s">
        <v>68</v>
      </c>
      <c r="BE324" t="s">
        <v>1436</v>
      </c>
      <c r="BF324" t="s">
        <v>1437</v>
      </c>
      <c r="BG324" t="s">
        <v>1438</v>
      </c>
      <c r="BH324">
        <v>0</v>
      </c>
      <c r="BI324">
        <v>1</v>
      </c>
      <c r="BJ324">
        <v>2</v>
      </c>
      <c r="BK324" t="s">
        <v>1439</v>
      </c>
      <c r="BL324">
        <v>8.8620000000000001</v>
      </c>
      <c r="BM324">
        <v>8.8620000000000001</v>
      </c>
      <c r="BN324" s="2">
        <v>43684</v>
      </c>
      <c r="BO324" s="1">
        <v>0.54410879629629627</v>
      </c>
      <c r="BP324" s="3">
        <f t="shared" si="34"/>
        <v>0.99460317460317449</v>
      </c>
      <c r="BQ324" s="3">
        <f t="shared" si="35"/>
        <v>1.0064271886305785</v>
      </c>
    </row>
    <row r="325" spans="1:69" hidden="1" x14ac:dyDescent="0.35">
      <c r="A325">
        <v>323</v>
      </c>
      <c r="B325">
        <v>4351</v>
      </c>
      <c r="D325">
        <v>12</v>
      </c>
      <c r="E325">
        <v>1</v>
      </c>
      <c r="G325">
        <v>19949.900000000001</v>
      </c>
      <c r="I325" t="s">
        <v>62</v>
      </c>
      <c r="L325" t="s">
        <v>1380</v>
      </c>
      <c r="M325">
        <v>9.6199999999999992</v>
      </c>
      <c r="N325">
        <v>47.87</v>
      </c>
      <c r="O325">
        <v>9.25</v>
      </c>
      <c r="P325" s="3">
        <f t="shared" si="30"/>
        <v>0.96153846153846156</v>
      </c>
      <c r="Q325">
        <v>38.94</v>
      </c>
      <c r="R325" s="3">
        <f t="shared" si="31"/>
        <v>0.81345310215166078</v>
      </c>
      <c r="S325">
        <v>360</v>
      </c>
      <c r="T325">
        <v>9.5370000000000008</v>
      </c>
      <c r="U325">
        <v>47.3</v>
      </c>
      <c r="V325">
        <v>9.1340000000000003</v>
      </c>
      <c r="W325" s="3">
        <f t="shared" si="32"/>
        <v>0.95774352521757367</v>
      </c>
      <c r="X325">
        <v>38.64</v>
      </c>
      <c r="Y325" s="3">
        <f t="shared" si="33"/>
        <v>0.81691331923890065</v>
      </c>
      <c r="Z325">
        <v>352.9</v>
      </c>
      <c r="AA325">
        <v>78.2</v>
      </c>
      <c r="AB325">
        <v>24.9</v>
      </c>
      <c r="AC325" t="s">
        <v>64</v>
      </c>
      <c r="AE325" t="s">
        <v>65</v>
      </c>
      <c r="AF325" t="s">
        <v>66</v>
      </c>
      <c r="AG325" s="2">
        <v>44441</v>
      </c>
      <c r="AH325" s="1">
        <v>0.42429398148148151</v>
      </c>
      <c r="AI325" t="s">
        <v>68</v>
      </c>
      <c r="AJ325" t="s">
        <v>69</v>
      </c>
      <c r="AO325">
        <v>7.6280000000000001</v>
      </c>
      <c r="AP325">
        <v>48.972999999999999</v>
      </c>
      <c r="AQ325">
        <v>12.8</v>
      </c>
      <c r="AR325">
        <v>1.905</v>
      </c>
      <c r="AS325">
        <v>44.356999999999999</v>
      </c>
      <c r="AT325">
        <v>51.25</v>
      </c>
      <c r="AZ325" s="2">
        <v>44471</v>
      </c>
      <c r="BB325" s="2">
        <v>44471</v>
      </c>
      <c r="BD325" t="s">
        <v>68</v>
      </c>
      <c r="BE325" t="s">
        <v>1440</v>
      </c>
      <c r="BF325" t="s">
        <v>1441</v>
      </c>
      <c r="BG325" t="s">
        <v>1442</v>
      </c>
      <c r="BH325">
        <v>0</v>
      </c>
      <c r="BI325">
        <v>0</v>
      </c>
      <c r="BJ325">
        <v>2</v>
      </c>
      <c r="BK325" t="s">
        <v>1443</v>
      </c>
      <c r="BL325">
        <v>8.8620000000000001</v>
      </c>
      <c r="BM325">
        <v>8.8620000000000001</v>
      </c>
      <c r="BN325" s="2">
        <v>43684</v>
      </c>
      <c r="BO325" s="1">
        <v>0.54106481481481483</v>
      </c>
      <c r="BP325" s="3">
        <f t="shared" si="34"/>
        <v>0.99605326622627655</v>
      </c>
      <c r="BQ325" s="3">
        <f t="shared" si="35"/>
        <v>1.0042537388794599</v>
      </c>
    </row>
    <row r="326" spans="1:69" hidden="1" x14ac:dyDescent="0.35">
      <c r="A326">
        <v>324</v>
      </c>
      <c r="B326">
        <v>4351</v>
      </c>
      <c r="D326">
        <v>12</v>
      </c>
      <c r="E326">
        <v>1</v>
      </c>
      <c r="G326">
        <v>19949.900000000001</v>
      </c>
      <c r="I326" t="s">
        <v>62</v>
      </c>
      <c r="L326" t="s">
        <v>1385</v>
      </c>
      <c r="M326">
        <v>9.6199999999999992</v>
      </c>
      <c r="N326">
        <v>47.87</v>
      </c>
      <c r="O326">
        <v>9.25</v>
      </c>
      <c r="P326" s="3">
        <f t="shared" si="30"/>
        <v>0.96153846153846156</v>
      </c>
      <c r="Q326">
        <v>38.94</v>
      </c>
      <c r="R326" s="3">
        <f t="shared" si="31"/>
        <v>0.81345310215166078</v>
      </c>
      <c r="S326">
        <v>360</v>
      </c>
      <c r="T326">
        <v>9.5909999999999993</v>
      </c>
      <c r="U326">
        <v>47.53</v>
      </c>
      <c r="V326">
        <v>9.1820000000000004</v>
      </c>
      <c r="W326" s="3">
        <f t="shared" si="32"/>
        <v>0.95735585444687743</v>
      </c>
      <c r="X326">
        <v>38.83</v>
      </c>
      <c r="Y326" s="3">
        <f t="shared" si="33"/>
        <v>0.81695771091941927</v>
      </c>
      <c r="Z326">
        <v>356.5</v>
      </c>
      <c r="AA326">
        <v>78.2</v>
      </c>
      <c r="AB326">
        <v>24.7</v>
      </c>
      <c r="AC326" t="s">
        <v>64</v>
      </c>
      <c r="AE326" t="s">
        <v>65</v>
      </c>
      <c r="AF326" t="s">
        <v>66</v>
      </c>
      <c r="AG326" s="2">
        <v>44107</v>
      </c>
      <c r="AH326" s="1">
        <v>0.45618055555555553</v>
      </c>
      <c r="AI326" t="s">
        <v>68</v>
      </c>
      <c r="AJ326" t="s">
        <v>69</v>
      </c>
      <c r="AO326">
        <v>7.6980000000000004</v>
      </c>
      <c r="AP326">
        <v>49.273000000000003</v>
      </c>
      <c r="AQ326">
        <v>12.8</v>
      </c>
      <c r="AR326">
        <v>1.925</v>
      </c>
      <c r="AS326">
        <v>44.543999999999997</v>
      </c>
      <c r="AT326">
        <v>51.2</v>
      </c>
      <c r="AY326">
        <v>2.69</v>
      </c>
      <c r="AZ326" s="2">
        <v>44138</v>
      </c>
      <c r="BB326" s="2">
        <v>44138</v>
      </c>
      <c r="BD326" t="s">
        <v>68</v>
      </c>
      <c r="BE326" t="s">
        <v>1444</v>
      </c>
      <c r="BF326" t="s">
        <v>1445</v>
      </c>
      <c r="BG326" t="s">
        <v>1446</v>
      </c>
      <c r="BH326">
        <v>0</v>
      </c>
      <c r="BI326">
        <v>1</v>
      </c>
      <c r="BJ326">
        <v>2</v>
      </c>
      <c r="BK326" t="s">
        <v>1447</v>
      </c>
      <c r="BL326">
        <v>8.8620000000000001</v>
      </c>
      <c r="BM326">
        <v>8.8620000000000001</v>
      </c>
      <c r="BN326" s="2">
        <v>43684</v>
      </c>
      <c r="BO326" s="1">
        <v>0.54106481481481483</v>
      </c>
      <c r="BP326" s="3">
        <f t="shared" si="34"/>
        <v>0.99565008862475246</v>
      </c>
      <c r="BQ326" s="3">
        <f t="shared" si="35"/>
        <v>1.0043083107784436</v>
      </c>
    </row>
    <row r="327" spans="1:69" hidden="1" x14ac:dyDescent="0.35">
      <c r="A327">
        <v>325</v>
      </c>
      <c r="B327">
        <v>4281</v>
      </c>
      <c r="D327">
        <v>12</v>
      </c>
      <c r="E327">
        <v>1</v>
      </c>
      <c r="G327">
        <v>19949.900000000001</v>
      </c>
      <c r="I327" t="s">
        <v>62</v>
      </c>
      <c r="L327" t="s">
        <v>1390</v>
      </c>
      <c r="M327">
        <v>9.6199999999999992</v>
      </c>
      <c r="N327">
        <v>47.87</v>
      </c>
      <c r="O327">
        <v>9.25</v>
      </c>
      <c r="P327" s="3">
        <f t="shared" si="30"/>
        <v>0.96153846153846156</v>
      </c>
      <c r="Q327">
        <v>38.94</v>
      </c>
      <c r="R327" s="3">
        <f t="shared" si="31"/>
        <v>0.81345310215166078</v>
      </c>
      <c r="S327">
        <v>360</v>
      </c>
      <c r="T327">
        <v>9.5190000000000001</v>
      </c>
      <c r="U327">
        <v>47.18</v>
      </c>
      <c r="V327">
        <v>9.1289999999999996</v>
      </c>
      <c r="W327" s="3">
        <f t="shared" si="32"/>
        <v>0.95902930980144963</v>
      </c>
      <c r="X327">
        <v>38.6</v>
      </c>
      <c r="Y327" s="3">
        <f t="shared" si="33"/>
        <v>0.81814328105129297</v>
      </c>
      <c r="Z327">
        <v>352.4</v>
      </c>
      <c r="AA327">
        <v>78.5</v>
      </c>
      <c r="AB327">
        <v>24.6</v>
      </c>
      <c r="AC327" t="s">
        <v>64</v>
      </c>
      <c r="AE327" t="s">
        <v>65</v>
      </c>
      <c r="AF327" t="s">
        <v>66</v>
      </c>
      <c r="AG327" s="2">
        <v>44441</v>
      </c>
      <c r="AH327" s="1">
        <v>0.42592592592592593</v>
      </c>
      <c r="AI327" t="s">
        <v>68</v>
      </c>
      <c r="AJ327" t="s">
        <v>69</v>
      </c>
      <c r="AO327">
        <v>7.6230000000000002</v>
      </c>
      <c r="AP327">
        <v>48.784999999999997</v>
      </c>
      <c r="AQ327">
        <v>12.8</v>
      </c>
      <c r="AR327">
        <v>1.905</v>
      </c>
      <c r="AS327">
        <v>44.244</v>
      </c>
      <c r="AT327">
        <v>51.25</v>
      </c>
      <c r="AY327">
        <v>2.69</v>
      </c>
      <c r="AZ327" s="2">
        <v>44471</v>
      </c>
      <c r="BB327" s="2">
        <v>44471</v>
      </c>
      <c r="BD327" t="s">
        <v>68</v>
      </c>
      <c r="BE327" t="s">
        <v>1448</v>
      </c>
      <c r="BF327" t="s">
        <v>1449</v>
      </c>
      <c r="BG327" t="s">
        <v>1450</v>
      </c>
      <c r="BH327">
        <v>0</v>
      </c>
      <c r="BI327">
        <v>0</v>
      </c>
      <c r="BJ327">
        <v>2</v>
      </c>
      <c r="BK327" t="s">
        <v>1451</v>
      </c>
      <c r="BL327">
        <v>8.8620000000000001</v>
      </c>
      <c r="BM327">
        <v>8.8620000000000001</v>
      </c>
      <c r="BN327" t="s">
        <v>844</v>
      </c>
      <c r="BO327" s="1">
        <v>0.48564814814814816</v>
      </c>
      <c r="BP327" s="3">
        <f t="shared" si="34"/>
        <v>0.99739048219350757</v>
      </c>
      <c r="BQ327" s="3">
        <f t="shared" si="35"/>
        <v>1.0057657643535027</v>
      </c>
    </row>
    <row r="328" spans="1:69" hidden="1" x14ac:dyDescent="0.35">
      <c r="A328">
        <v>326</v>
      </c>
      <c r="B328">
        <v>4281</v>
      </c>
      <c r="D328">
        <v>12</v>
      </c>
      <c r="E328">
        <v>1</v>
      </c>
      <c r="G328">
        <v>19949.900000000001</v>
      </c>
      <c r="I328" t="s">
        <v>62</v>
      </c>
      <c r="L328" t="s">
        <v>1395</v>
      </c>
      <c r="M328">
        <v>9.6199999999999992</v>
      </c>
      <c r="N328">
        <v>47.87</v>
      </c>
      <c r="O328">
        <v>9.25</v>
      </c>
      <c r="P328" s="3">
        <f t="shared" si="30"/>
        <v>0.96153846153846156</v>
      </c>
      <c r="Q328">
        <v>38.94</v>
      </c>
      <c r="R328" s="3">
        <f t="shared" si="31"/>
        <v>0.81345310215166078</v>
      </c>
      <c r="S328">
        <v>360</v>
      </c>
      <c r="T328">
        <v>9.5660000000000007</v>
      </c>
      <c r="U328">
        <v>47.23</v>
      </c>
      <c r="V328">
        <v>9.1649999999999991</v>
      </c>
      <c r="W328" s="3">
        <f t="shared" si="32"/>
        <v>0.95808070248797805</v>
      </c>
      <c r="X328">
        <v>38.68</v>
      </c>
      <c r="Y328" s="3">
        <f t="shared" si="33"/>
        <v>0.81897099301291554</v>
      </c>
      <c r="Z328">
        <v>354.5</v>
      </c>
      <c r="AA328">
        <v>78.5</v>
      </c>
      <c r="AB328">
        <v>24.9</v>
      </c>
      <c r="AC328" t="s">
        <v>64</v>
      </c>
      <c r="AE328" t="s">
        <v>65</v>
      </c>
      <c r="AF328" t="s">
        <v>66</v>
      </c>
      <c r="AG328" s="2">
        <v>44107</v>
      </c>
      <c r="AH328" s="1">
        <v>0.45833333333333331</v>
      </c>
      <c r="AI328" t="s">
        <v>68</v>
      </c>
      <c r="AJ328" t="s">
        <v>69</v>
      </c>
      <c r="AO328">
        <v>7.6980000000000004</v>
      </c>
      <c r="AP328">
        <v>48.784999999999997</v>
      </c>
      <c r="AQ328">
        <v>12.8</v>
      </c>
      <c r="AR328">
        <v>1.925</v>
      </c>
      <c r="AS328">
        <v>44.131</v>
      </c>
      <c r="AT328">
        <v>51.2</v>
      </c>
      <c r="AY328">
        <v>2.69</v>
      </c>
      <c r="AZ328" s="2">
        <v>44138</v>
      </c>
      <c r="BB328" s="2">
        <v>44138</v>
      </c>
      <c r="BD328" t="s">
        <v>68</v>
      </c>
      <c r="BE328" t="s">
        <v>1452</v>
      </c>
      <c r="BF328" t="s">
        <v>1453</v>
      </c>
      <c r="BG328" t="s">
        <v>1454</v>
      </c>
      <c r="BH328">
        <v>0</v>
      </c>
      <c r="BI328">
        <v>1</v>
      </c>
      <c r="BJ328">
        <v>2</v>
      </c>
      <c r="BK328" t="s">
        <v>1455</v>
      </c>
      <c r="BL328">
        <v>8.8620000000000001</v>
      </c>
      <c r="BM328">
        <v>8.8620000000000001</v>
      </c>
      <c r="BN328" t="s">
        <v>844</v>
      </c>
      <c r="BO328" s="1">
        <v>0.48564814814814816</v>
      </c>
      <c r="BP328" s="3">
        <f t="shared" si="34"/>
        <v>0.9964039305874971</v>
      </c>
      <c r="BQ328" s="3">
        <f t="shared" si="35"/>
        <v>1.0067832931568634</v>
      </c>
    </row>
    <row r="329" spans="1:69" hidden="1" x14ac:dyDescent="0.35">
      <c r="A329">
        <v>327</v>
      </c>
      <c r="B329">
        <v>4355</v>
      </c>
      <c r="D329">
        <v>12</v>
      </c>
      <c r="E329">
        <v>1</v>
      </c>
      <c r="G329">
        <v>19949.900000000001</v>
      </c>
      <c r="I329" t="s">
        <v>62</v>
      </c>
      <c r="L329" t="s">
        <v>1380</v>
      </c>
      <c r="M329">
        <v>9.6199999999999992</v>
      </c>
      <c r="N329">
        <v>47.87</v>
      </c>
      <c r="O329">
        <v>9.25</v>
      </c>
      <c r="P329" s="3">
        <f t="shared" si="30"/>
        <v>0.96153846153846156</v>
      </c>
      <c r="Q329">
        <v>38.94</v>
      </c>
      <c r="R329" s="3">
        <f t="shared" si="31"/>
        <v>0.81345310215166078</v>
      </c>
      <c r="S329">
        <v>360</v>
      </c>
      <c r="T329">
        <v>9.5299999999999994</v>
      </c>
      <c r="U329">
        <v>47.21</v>
      </c>
      <c r="V329">
        <v>9.1080000000000005</v>
      </c>
      <c r="W329" s="3">
        <f t="shared" si="32"/>
        <v>0.95571878279118583</v>
      </c>
      <c r="X329">
        <v>38.51</v>
      </c>
      <c r="Y329" s="3">
        <f t="shared" si="33"/>
        <v>0.81571700910823974</v>
      </c>
      <c r="Z329">
        <v>350.8</v>
      </c>
      <c r="AA329">
        <v>78</v>
      </c>
      <c r="AB329">
        <v>25.2</v>
      </c>
      <c r="AC329" t="s">
        <v>64</v>
      </c>
      <c r="AE329" t="s">
        <v>65</v>
      </c>
      <c r="AF329" t="s">
        <v>66</v>
      </c>
      <c r="AG329" s="2">
        <v>44441</v>
      </c>
      <c r="AH329" s="1">
        <v>0.41655092592592591</v>
      </c>
      <c r="AI329" t="s">
        <v>68</v>
      </c>
      <c r="AJ329" t="s">
        <v>69</v>
      </c>
      <c r="AO329">
        <v>7.6280000000000001</v>
      </c>
      <c r="AP329">
        <v>48.898000000000003</v>
      </c>
      <c r="AQ329">
        <v>12.8</v>
      </c>
      <c r="AR329">
        <v>1.905</v>
      </c>
      <c r="AS329">
        <v>44.206000000000003</v>
      </c>
      <c r="AT329">
        <v>51.25</v>
      </c>
      <c r="AZ329" s="2">
        <v>44471</v>
      </c>
      <c r="BB329" s="2">
        <v>44471</v>
      </c>
      <c r="BD329" t="s">
        <v>68</v>
      </c>
      <c r="BE329" t="s">
        <v>1456</v>
      </c>
      <c r="BF329" t="s">
        <v>1457</v>
      </c>
      <c r="BG329" t="s">
        <v>1458</v>
      </c>
      <c r="BH329">
        <v>0</v>
      </c>
      <c r="BI329">
        <v>0</v>
      </c>
      <c r="BJ329">
        <v>2</v>
      </c>
      <c r="BK329" t="s">
        <v>1459</v>
      </c>
      <c r="BL329">
        <v>8.8620000000000001</v>
      </c>
      <c r="BM329">
        <v>8.8620000000000001</v>
      </c>
      <c r="BN329" s="2">
        <v>43684</v>
      </c>
      <c r="BO329" s="1">
        <v>0.52901620370370372</v>
      </c>
      <c r="BP329" s="3">
        <f t="shared" si="34"/>
        <v>0.99394753410283321</v>
      </c>
      <c r="BQ329" s="3">
        <f t="shared" si="35"/>
        <v>1.0027830823320862</v>
      </c>
    </row>
    <row r="330" spans="1:69" hidden="1" x14ac:dyDescent="0.35">
      <c r="A330">
        <v>328</v>
      </c>
      <c r="B330">
        <v>4355</v>
      </c>
      <c r="D330">
        <v>12</v>
      </c>
      <c r="E330">
        <v>1</v>
      </c>
      <c r="G330">
        <v>19949.900000000001</v>
      </c>
      <c r="I330" t="s">
        <v>62</v>
      </c>
      <c r="L330" t="s">
        <v>1385</v>
      </c>
      <c r="M330">
        <v>9.6199999999999992</v>
      </c>
      <c r="N330">
        <v>47.87</v>
      </c>
      <c r="O330">
        <v>9.25</v>
      </c>
      <c r="P330" s="3">
        <f t="shared" si="30"/>
        <v>0.96153846153846156</v>
      </c>
      <c r="Q330">
        <v>38.94</v>
      </c>
      <c r="R330" s="3">
        <f t="shared" si="31"/>
        <v>0.81345310215166078</v>
      </c>
      <c r="S330">
        <v>360</v>
      </c>
      <c r="T330">
        <v>9.5830000000000002</v>
      </c>
      <c r="U330">
        <v>47.33</v>
      </c>
      <c r="V330">
        <v>9.17</v>
      </c>
      <c r="W330" s="3">
        <f t="shared" si="32"/>
        <v>0.95690284879474063</v>
      </c>
      <c r="X330">
        <v>38.74</v>
      </c>
      <c r="Y330" s="3">
        <f t="shared" si="33"/>
        <v>0.81850834565814501</v>
      </c>
      <c r="Z330">
        <v>355.3</v>
      </c>
      <c r="AA330">
        <v>78.3</v>
      </c>
      <c r="AB330">
        <v>24.7</v>
      </c>
      <c r="AC330" t="s">
        <v>64</v>
      </c>
      <c r="AE330" t="s">
        <v>65</v>
      </c>
      <c r="AF330" t="s">
        <v>66</v>
      </c>
      <c r="AG330" s="2">
        <v>44107</v>
      </c>
      <c r="AH330" s="1">
        <v>0.45519675925925923</v>
      </c>
      <c r="AI330" t="s">
        <v>68</v>
      </c>
      <c r="AJ330" t="s">
        <v>69</v>
      </c>
      <c r="AO330">
        <v>7.6980000000000004</v>
      </c>
      <c r="AP330">
        <v>49.161000000000001</v>
      </c>
      <c r="AQ330">
        <v>12.8</v>
      </c>
      <c r="AR330">
        <v>1.92</v>
      </c>
      <c r="AS330">
        <v>44.469000000000001</v>
      </c>
      <c r="AT330">
        <v>51.2</v>
      </c>
      <c r="AY330">
        <v>2.69</v>
      </c>
      <c r="AZ330" s="2">
        <v>44138</v>
      </c>
      <c r="BB330" s="2">
        <v>44138</v>
      </c>
      <c r="BD330" t="s">
        <v>68</v>
      </c>
      <c r="BE330" t="s">
        <v>1460</v>
      </c>
      <c r="BF330" t="s">
        <v>1461</v>
      </c>
      <c r="BG330" t="s">
        <v>1462</v>
      </c>
      <c r="BH330">
        <v>0</v>
      </c>
      <c r="BI330">
        <v>1</v>
      </c>
      <c r="BJ330">
        <v>2</v>
      </c>
      <c r="BK330" t="s">
        <v>1463</v>
      </c>
      <c r="BL330">
        <v>8.8620000000000001</v>
      </c>
      <c r="BM330">
        <v>8.8620000000000001</v>
      </c>
      <c r="BN330" s="2">
        <v>43684</v>
      </c>
      <c r="BO330" s="1">
        <v>0.52901620370370372</v>
      </c>
      <c r="BP330" s="3">
        <f t="shared" si="34"/>
        <v>0.99517896274653028</v>
      </c>
      <c r="BQ330" s="3">
        <f t="shared" si="35"/>
        <v>1.0062145481935132</v>
      </c>
    </row>
    <row r="331" spans="1:69" hidden="1" x14ac:dyDescent="0.35">
      <c r="A331">
        <v>329</v>
      </c>
      <c r="B331">
        <v>4350</v>
      </c>
      <c r="D331">
        <v>12</v>
      </c>
      <c r="E331">
        <v>1</v>
      </c>
      <c r="G331">
        <v>19949.900000000001</v>
      </c>
      <c r="I331" t="s">
        <v>62</v>
      </c>
      <c r="L331" t="s">
        <v>1380</v>
      </c>
      <c r="M331">
        <v>9.6199999999999992</v>
      </c>
      <c r="N331">
        <v>47.87</v>
      </c>
      <c r="O331">
        <v>9.25</v>
      </c>
      <c r="P331" s="3">
        <f t="shared" si="30"/>
        <v>0.96153846153846156</v>
      </c>
      <c r="Q331">
        <v>38.94</v>
      </c>
      <c r="R331" s="3">
        <f t="shared" si="31"/>
        <v>0.81345310215166078</v>
      </c>
      <c r="S331">
        <v>360</v>
      </c>
      <c r="T331">
        <v>9.532</v>
      </c>
      <c r="U331">
        <v>47.16</v>
      </c>
      <c r="V331">
        <v>9.1240000000000006</v>
      </c>
      <c r="W331" s="3">
        <f t="shared" si="32"/>
        <v>0.95719681074276131</v>
      </c>
      <c r="X331">
        <v>38.630000000000003</v>
      </c>
      <c r="Y331" s="3">
        <f t="shared" si="33"/>
        <v>0.81912637828668378</v>
      </c>
      <c r="Z331">
        <v>352.5</v>
      </c>
      <c r="AA331">
        <v>78.400000000000006</v>
      </c>
      <c r="AB331">
        <v>25</v>
      </c>
      <c r="AC331" t="s">
        <v>64</v>
      </c>
      <c r="AE331" t="s">
        <v>65</v>
      </c>
      <c r="AF331" t="s">
        <v>66</v>
      </c>
      <c r="AG331" s="2">
        <v>44441</v>
      </c>
      <c r="AH331" s="1">
        <v>0.42810185185185184</v>
      </c>
      <c r="AI331" t="s">
        <v>68</v>
      </c>
      <c r="AJ331" t="s">
        <v>69</v>
      </c>
      <c r="AO331">
        <v>7.6189999999999998</v>
      </c>
      <c r="AP331">
        <v>49.851999999999997</v>
      </c>
      <c r="AQ331">
        <v>12.8</v>
      </c>
      <c r="AR331">
        <v>1.905</v>
      </c>
      <c r="AS331">
        <v>44.393999999999998</v>
      </c>
      <c r="AT331">
        <v>51.25</v>
      </c>
      <c r="AY331">
        <v>2.69</v>
      </c>
      <c r="AZ331" s="2">
        <v>44471</v>
      </c>
      <c r="BB331" s="2">
        <v>44471</v>
      </c>
      <c r="BD331" t="s">
        <v>68</v>
      </c>
      <c r="BE331" t="s">
        <v>1464</v>
      </c>
      <c r="BF331" t="s">
        <v>1465</v>
      </c>
      <c r="BG331" t="s">
        <v>1466</v>
      </c>
      <c r="BH331">
        <v>0</v>
      </c>
      <c r="BI331">
        <v>0</v>
      </c>
      <c r="BJ331">
        <v>2</v>
      </c>
      <c r="BK331" t="s">
        <v>1467</v>
      </c>
      <c r="BL331">
        <v>8.8620000000000001</v>
      </c>
      <c r="BM331">
        <v>8.8620000000000001</v>
      </c>
      <c r="BN331" s="2">
        <v>43684</v>
      </c>
      <c r="BO331" s="1">
        <v>0.54314814814814816</v>
      </c>
      <c r="BP331" s="3">
        <f t="shared" si="34"/>
        <v>0.99548468317247174</v>
      </c>
      <c r="BQ331" s="3">
        <f t="shared" si="35"/>
        <v>1.0069743124957256</v>
      </c>
    </row>
    <row r="332" spans="1:69" hidden="1" x14ac:dyDescent="0.35">
      <c r="A332">
        <v>330</v>
      </c>
      <c r="B332">
        <v>4350</v>
      </c>
      <c r="D332">
        <v>12</v>
      </c>
      <c r="E332">
        <v>1</v>
      </c>
      <c r="G332">
        <v>19949.900000000001</v>
      </c>
      <c r="I332" t="s">
        <v>62</v>
      </c>
      <c r="L332" t="s">
        <v>1385</v>
      </c>
      <c r="M332">
        <v>9.6199999999999992</v>
      </c>
      <c r="N332">
        <v>47.87</v>
      </c>
      <c r="O332">
        <v>9.25</v>
      </c>
      <c r="P332" s="3">
        <f t="shared" si="30"/>
        <v>0.96153846153846156</v>
      </c>
      <c r="Q332">
        <v>38.94</v>
      </c>
      <c r="R332" s="3">
        <f t="shared" si="31"/>
        <v>0.81345310215166078</v>
      </c>
      <c r="S332">
        <v>360</v>
      </c>
      <c r="T332">
        <v>9.5660000000000007</v>
      </c>
      <c r="U332">
        <v>47.26</v>
      </c>
      <c r="V332">
        <v>9.16</v>
      </c>
      <c r="W332" s="3">
        <f t="shared" si="32"/>
        <v>0.95755801798034701</v>
      </c>
      <c r="X332">
        <v>38.700000000000003</v>
      </c>
      <c r="Y332" s="3">
        <f t="shared" si="33"/>
        <v>0.81887431231485408</v>
      </c>
      <c r="Z332">
        <v>354.5</v>
      </c>
      <c r="AA332">
        <v>78.400000000000006</v>
      </c>
      <c r="AB332">
        <v>24.9</v>
      </c>
      <c r="AC332" t="s">
        <v>64</v>
      </c>
      <c r="AE332" t="s">
        <v>65</v>
      </c>
      <c r="AF332" t="s">
        <v>66</v>
      </c>
      <c r="AG332" s="2">
        <v>44107</v>
      </c>
      <c r="AH332" s="1">
        <v>0.46230324074074075</v>
      </c>
      <c r="AI332" t="s">
        <v>68</v>
      </c>
      <c r="AJ332" t="s">
        <v>69</v>
      </c>
      <c r="AO332">
        <v>7.6980000000000004</v>
      </c>
      <c r="AP332">
        <v>48.71</v>
      </c>
      <c r="AQ332">
        <v>12.8</v>
      </c>
      <c r="AR332">
        <v>1.925</v>
      </c>
      <c r="AS332">
        <v>43.944000000000003</v>
      </c>
      <c r="AT332">
        <v>51.2</v>
      </c>
      <c r="AY332">
        <v>2.69</v>
      </c>
      <c r="AZ332" s="2">
        <v>44138</v>
      </c>
      <c r="BB332" s="2">
        <v>44138</v>
      </c>
      <c r="BD332" t="s">
        <v>68</v>
      </c>
      <c r="BE332" t="s">
        <v>1468</v>
      </c>
      <c r="BF332" t="s">
        <v>1469</v>
      </c>
      <c r="BG332" t="s">
        <v>1470</v>
      </c>
      <c r="BH332">
        <v>0</v>
      </c>
      <c r="BI332">
        <v>1</v>
      </c>
      <c r="BJ332">
        <v>2</v>
      </c>
      <c r="BK332" t="s">
        <v>1471</v>
      </c>
      <c r="BL332">
        <v>8.8620000000000001</v>
      </c>
      <c r="BM332">
        <v>8.8620000000000001</v>
      </c>
      <c r="BN332" s="2">
        <v>43684</v>
      </c>
      <c r="BO332" s="1">
        <v>0.54314814814814816</v>
      </c>
      <c r="BP332" s="3">
        <f t="shared" si="34"/>
        <v>0.99586033869956081</v>
      </c>
      <c r="BQ332" s="3">
        <f t="shared" si="35"/>
        <v>1.0066644409479215</v>
      </c>
    </row>
    <row r="333" spans="1:69" hidden="1" x14ac:dyDescent="0.35">
      <c r="A333">
        <v>331</v>
      </c>
      <c r="B333">
        <v>4282</v>
      </c>
      <c r="D333">
        <v>12</v>
      </c>
      <c r="E333">
        <v>1</v>
      </c>
      <c r="G333">
        <v>19949.900000000001</v>
      </c>
      <c r="I333" t="s">
        <v>62</v>
      </c>
      <c r="L333" t="s">
        <v>1390</v>
      </c>
      <c r="M333">
        <v>9.6199999999999992</v>
      </c>
      <c r="N333">
        <v>47.87</v>
      </c>
      <c r="O333">
        <v>9.25</v>
      </c>
      <c r="P333" s="3">
        <f t="shared" si="30"/>
        <v>0.96153846153846156</v>
      </c>
      <c r="Q333">
        <v>38.94</v>
      </c>
      <c r="R333" s="3">
        <f t="shared" si="31"/>
        <v>0.81345310215166078</v>
      </c>
      <c r="S333">
        <v>360</v>
      </c>
      <c r="T333">
        <v>9.5389999999999997</v>
      </c>
      <c r="U333">
        <v>47.09</v>
      </c>
      <c r="V333">
        <v>9.1189999999999998</v>
      </c>
      <c r="W333" s="3">
        <f t="shared" si="32"/>
        <v>0.95597022748715799</v>
      </c>
      <c r="X333">
        <v>38.46</v>
      </c>
      <c r="Y333" s="3">
        <f t="shared" si="33"/>
        <v>0.81673391378211935</v>
      </c>
      <c r="Z333">
        <v>350.7</v>
      </c>
      <c r="AA333">
        <v>78.099999999999994</v>
      </c>
      <c r="AB333">
        <v>24.9</v>
      </c>
      <c r="AC333" t="s">
        <v>64</v>
      </c>
      <c r="AE333" t="s">
        <v>65</v>
      </c>
      <c r="AF333" t="s">
        <v>66</v>
      </c>
      <c r="AG333" s="2">
        <v>44441</v>
      </c>
      <c r="AH333" s="1">
        <v>0.42737268518518517</v>
      </c>
      <c r="AI333" t="s">
        <v>68</v>
      </c>
      <c r="AJ333" t="s">
        <v>69</v>
      </c>
      <c r="AO333">
        <v>7.6280000000000001</v>
      </c>
      <c r="AP333">
        <v>48.784999999999997</v>
      </c>
      <c r="AQ333">
        <v>12.8</v>
      </c>
      <c r="AR333">
        <v>1.905</v>
      </c>
      <c r="AS333">
        <v>44.168999999999997</v>
      </c>
      <c r="AT333">
        <v>51.25</v>
      </c>
      <c r="AY333">
        <v>2.69</v>
      </c>
      <c r="AZ333" s="2">
        <v>44471</v>
      </c>
      <c r="BB333" s="2">
        <v>44471</v>
      </c>
      <c r="BD333" t="s">
        <v>68</v>
      </c>
      <c r="BE333" t="s">
        <v>1472</v>
      </c>
      <c r="BF333" t="s">
        <v>1473</v>
      </c>
      <c r="BG333" t="s">
        <v>1474</v>
      </c>
      <c r="BH333">
        <v>0</v>
      </c>
      <c r="BI333">
        <v>0</v>
      </c>
      <c r="BJ333">
        <v>2</v>
      </c>
      <c r="BK333" t="s">
        <v>1475</v>
      </c>
      <c r="BL333">
        <v>8.8620000000000001</v>
      </c>
      <c r="BM333">
        <v>8.8620000000000001</v>
      </c>
      <c r="BN333" t="s">
        <v>844</v>
      </c>
      <c r="BO333" s="1">
        <v>0.48788194444444444</v>
      </c>
      <c r="BP333" s="3">
        <f t="shared" si="34"/>
        <v>0.99420903658664428</v>
      </c>
      <c r="BQ333" s="3">
        <f t="shared" si="35"/>
        <v>1.0040331908769915</v>
      </c>
    </row>
    <row r="334" spans="1:69" hidden="1" x14ac:dyDescent="0.35">
      <c r="A334">
        <v>332</v>
      </c>
      <c r="B334">
        <v>4282</v>
      </c>
      <c r="D334">
        <v>12</v>
      </c>
      <c r="E334">
        <v>1</v>
      </c>
      <c r="G334">
        <v>19949.900000000001</v>
      </c>
      <c r="I334" t="s">
        <v>62</v>
      </c>
      <c r="L334" t="s">
        <v>1395</v>
      </c>
      <c r="M334">
        <v>9.6199999999999992</v>
      </c>
      <c r="N334">
        <v>47.87</v>
      </c>
      <c r="O334">
        <v>9.25</v>
      </c>
      <c r="P334" s="3">
        <f t="shared" si="30"/>
        <v>0.96153846153846156</v>
      </c>
      <c r="Q334">
        <v>38.94</v>
      </c>
      <c r="R334" s="3">
        <f t="shared" si="31"/>
        <v>0.81345310215166078</v>
      </c>
      <c r="S334">
        <v>360</v>
      </c>
      <c r="T334">
        <v>9.577</v>
      </c>
      <c r="U334">
        <v>47.29</v>
      </c>
      <c r="V334">
        <v>9.17</v>
      </c>
      <c r="W334" s="3">
        <f t="shared" si="32"/>
        <v>0.95750234937871981</v>
      </c>
      <c r="X334">
        <v>38.659999999999997</v>
      </c>
      <c r="Y334" s="3">
        <f t="shared" si="33"/>
        <v>0.81750898710086695</v>
      </c>
      <c r="Z334">
        <v>354.5</v>
      </c>
      <c r="AA334">
        <v>78.3</v>
      </c>
      <c r="AB334">
        <v>24.9</v>
      </c>
      <c r="AC334" t="s">
        <v>64</v>
      </c>
      <c r="AE334" t="s">
        <v>65</v>
      </c>
      <c r="AF334" t="s">
        <v>66</v>
      </c>
      <c r="AG334" s="2">
        <v>44107</v>
      </c>
      <c r="AH334" s="1">
        <v>0.46141203703703704</v>
      </c>
      <c r="AI334" t="s">
        <v>68</v>
      </c>
      <c r="AJ334" t="s">
        <v>69</v>
      </c>
      <c r="AO334">
        <v>7.6980000000000004</v>
      </c>
      <c r="AP334">
        <v>48.792999999999999</v>
      </c>
      <c r="AQ334">
        <v>12.8</v>
      </c>
      <c r="AR334">
        <v>1.92</v>
      </c>
      <c r="AS334">
        <v>44.018999999999998</v>
      </c>
      <c r="AT334">
        <v>51.2</v>
      </c>
      <c r="AY334">
        <v>2.69</v>
      </c>
      <c r="AZ334" s="2">
        <v>44138</v>
      </c>
      <c r="BB334" s="2">
        <v>44138</v>
      </c>
      <c r="BD334" t="s">
        <v>68</v>
      </c>
      <c r="BE334" t="s">
        <v>1476</v>
      </c>
      <c r="BF334" t="s">
        <v>1477</v>
      </c>
      <c r="BG334" t="s">
        <v>1478</v>
      </c>
      <c r="BH334">
        <v>0</v>
      </c>
      <c r="BI334">
        <v>1</v>
      </c>
      <c r="BJ334">
        <v>2</v>
      </c>
      <c r="BK334" t="s">
        <v>1479</v>
      </c>
      <c r="BL334">
        <v>8.8620000000000001</v>
      </c>
      <c r="BM334">
        <v>8.8620000000000001</v>
      </c>
      <c r="BN334" t="s">
        <v>844</v>
      </c>
      <c r="BO334" s="1">
        <v>0.48788194444444444</v>
      </c>
      <c r="BP334" s="3">
        <f t="shared" si="34"/>
        <v>0.99580244335386858</v>
      </c>
      <c r="BQ334" s="3">
        <f t="shared" si="35"/>
        <v>1.004986009566474</v>
      </c>
    </row>
    <row r="335" spans="1:69" hidden="1" x14ac:dyDescent="0.35">
      <c r="A335">
        <v>333</v>
      </c>
      <c r="B335">
        <v>4539</v>
      </c>
      <c r="D335">
        <v>12</v>
      </c>
      <c r="E335">
        <v>1</v>
      </c>
      <c r="G335">
        <v>19949.900000000001</v>
      </c>
      <c r="I335" t="s">
        <v>62</v>
      </c>
      <c r="L335" t="s">
        <v>183</v>
      </c>
      <c r="M335">
        <v>9.6199999999999992</v>
      </c>
      <c r="N335">
        <v>47.87</v>
      </c>
      <c r="O335">
        <v>9.25</v>
      </c>
      <c r="P335" s="3">
        <f t="shared" si="30"/>
        <v>0.96153846153846156</v>
      </c>
      <c r="Q335">
        <v>38.94</v>
      </c>
      <c r="R335" s="3">
        <f t="shared" si="31"/>
        <v>0.81345310215166078</v>
      </c>
      <c r="S335">
        <v>360</v>
      </c>
      <c r="T335">
        <v>9.5709999999999997</v>
      </c>
      <c r="U335">
        <v>47.38</v>
      </c>
      <c r="V335">
        <v>9.1519999999999992</v>
      </c>
      <c r="W335" s="3">
        <f t="shared" si="32"/>
        <v>0.95622192038449483</v>
      </c>
      <c r="X335">
        <v>38.99</v>
      </c>
      <c r="Y335" s="3">
        <f t="shared" si="33"/>
        <v>0.82292106373997465</v>
      </c>
      <c r="Z335">
        <v>356.8</v>
      </c>
      <c r="AA335">
        <v>78.7</v>
      </c>
      <c r="AB335">
        <v>25</v>
      </c>
      <c r="AC335" t="s">
        <v>64</v>
      </c>
      <c r="AE335" t="s">
        <v>65</v>
      </c>
      <c r="AF335" t="s">
        <v>66</v>
      </c>
      <c r="AG335" t="s">
        <v>1374</v>
      </c>
      <c r="AH335" s="1">
        <v>0.37225694444444446</v>
      </c>
      <c r="AI335" t="s">
        <v>68</v>
      </c>
      <c r="AJ335" t="s">
        <v>69</v>
      </c>
      <c r="AO335">
        <v>7.6980000000000004</v>
      </c>
      <c r="AP335">
        <v>48.935000000000002</v>
      </c>
      <c r="AQ335">
        <v>12.8</v>
      </c>
      <c r="AR335">
        <v>1.92</v>
      </c>
      <c r="AS335">
        <v>44.206000000000003</v>
      </c>
      <c r="AT335">
        <v>51.2</v>
      </c>
      <c r="AY335">
        <v>2.69</v>
      </c>
      <c r="AZ335" t="s">
        <v>1375</v>
      </c>
      <c r="BB335" t="s">
        <v>1375</v>
      </c>
      <c r="BD335" t="s">
        <v>68</v>
      </c>
      <c r="BE335" t="s">
        <v>1480</v>
      </c>
      <c r="BF335" t="s">
        <v>1481</v>
      </c>
      <c r="BG335" t="s">
        <v>1482</v>
      </c>
      <c r="BH335">
        <v>0</v>
      </c>
      <c r="BI335">
        <v>0</v>
      </c>
      <c r="BJ335">
        <v>1</v>
      </c>
      <c r="BK335" t="s">
        <v>1483</v>
      </c>
      <c r="BL335">
        <v>8.8620000000000001</v>
      </c>
      <c r="BM335">
        <v>8.8620000000000001</v>
      </c>
      <c r="BN335" t="s">
        <v>1374</v>
      </c>
      <c r="BO335" s="1">
        <v>0.37225694444444446</v>
      </c>
      <c r="BP335" s="3">
        <f t="shared" si="34"/>
        <v>0.99447079719987463</v>
      </c>
      <c r="BQ335" s="3">
        <f t="shared" si="35"/>
        <v>1.0116392224250792</v>
      </c>
    </row>
    <row r="336" spans="1:69" hidden="1" x14ac:dyDescent="0.35">
      <c r="A336">
        <v>334</v>
      </c>
      <c r="B336">
        <v>4533</v>
      </c>
      <c r="D336">
        <v>12</v>
      </c>
      <c r="E336">
        <v>1</v>
      </c>
      <c r="G336">
        <v>19949.900000000001</v>
      </c>
      <c r="I336" t="s">
        <v>62</v>
      </c>
      <c r="L336" t="s">
        <v>183</v>
      </c>
      <c r="M336">
        <v>9.6199999999999992</v>
      </c>
      <c r="N336">
        <v>47.87</v>
      </c>
      <c r="O336">
        <v>9.25</v>
      </c>
      <c r="P336" s="3">
        <f t="shared" si="30"/>
        <v>0.96153846153846156</v>
      </c>
      <c r="Q336">
        <v>38.94</v>
      </c>
      <c r="R336" s="3">
        <f t="shared" si="31"/>
        <v>0.81345310215166078</v>
      </c>
      <c r="S336">
        <v>360</v>
      </c>
      <c r="T336">
        <v>9.6159999999999997</v>
      </c>
      <c r="U336">
        <v>47.41</v>
      </c>
      <c r="V336">
        <v>9.1989999999999998</v>
      </c>
      <c r="W336" s="3">
        <f t="shared" si="32"/>
        <v>0.95663477537437602</v>
      </c>
      <c r="X336">
        <v>39.049999999999997</v>
      </c>
      <c r="Y336" s="3">
        <f t="shared" si="33"/>
        <v>0.82366589327146167</v>
      </c>
      <c r="Z336">
        <v>359.2</v>
      </c>
      <c r="AA336">
        <v>78.8</v>
      </c>
      <c r="AB336">
        <v>25</v>
      </c>
      <c r="AC336" t="s">
        <v>64</v>
      </c>
      <c r="AE336" t="s">
        <v>65</v>
      </c>
      <c r="AF336" t="s">
        <v>66</v>
      </c>
      <c r="AG336" s="2">
        <v>44107</v>
      </c>
      <c r="AH336" s="1">
        <v>0.61943287037037043</v>
      </c>
      <c r="AI336" t="s">
        <v>68</v>
      </c>
      <c r="AJ336" t="s">
        <v>69</v>
      </c>
      <c r="AO336">
        <v>7.6980000000000004</v>
      </c>
      <c r="AP336">
        <v>49.610999999999997</v>
      </c>
      <c r="AQ336">
        <v>12.8</v>
      </c>
      <c r="AR336">
        <v>1.92</v>
      </c>
      <c r="AS336">
        <v>45.07</v>
      </c>
      <c r="AT336">
        <v>51.2</v>
      </c>
      <c r="AY336">
        <v>2.69</v>
      </c>
      <c r="AZ336" s="2">
        <v>44138</v>
      </c>
      <c r="BB336" s="2">
        <v>44138</v>
      </c>
      <c r="BD336" t="s">
        <v>68</v>
      </c>
      <c r="BE336" t="s">
        <v>1484</v>
      </c>
      <c r="BF336" t="s">
        <v>1485</v>
      </c>
      <c r="BG336" t="s">
        <v>1486</v>
      </c>
      <c r="BH336">
        <v>0</v>
      </c>
      <c r="BI336">
        <v>0</v>
      </c>
      <c r="BJ336">
        <v>1</v>
      </c>
      <c r="BK336" t="s">
        <v>1487</v>
      </c>
      <c r="BL336">
        <v>8.8620000000000001</v>
      </c>
      <c r="BM336">
        <v>8.8620000000000001</v>
      </c>
      <c r="BN336" s="2">
        <v>44107</v>
      </c>
      <c r="BO336" s="1">
        <v>0.61943287037037043</v>
      </c>
      <c r="BP336" s="3">
        <f t="shared" si="34"/>
        <v>0.99490016638935108</v>
      </c>
      <c r="BQ336" s="3">
        <f t="shared" si="35"/>
        <v>1.0125548616051585</v>
      </c>
    </row>
    <row r="337" spans="1:69" hidden="1" x14ac:dyDescent="0.35">
      <c r="A337">
        <v>335</v>
      </c>
      <c r="B337">
        <v>4529</v>
      </c>
      <c r="D337">
        <v>12</v>
      </c>
      <c r="E337">
        <v>1</v>
      </c>
      <c r="G337">
        <v>19949.900000000001</v>
      </c>
      <c r="I337" t="s">
        <v>62</v>
      </c>
      <c r="L337" t="s">
        <v>183</v>
      </c>
      <c r="M337">
        <v>9.6199999999999992</v>
      </c>
      <c r="N337">
        <v>47.87</v>
      </c>
      <c r="O337">
        <v>9.25</v>
      </c>
      <c r="P337" s="3">
        <f t="shared" si="30"/>
        <v>0.96153846153846156</v>
      </c>
      <c r="Q337">
        <v>38.94</v>
      </c>
      <c r="R337" s="3">
        <f t="shared" si="31"/>
        <v>0.81345310215166078</v>
      </c>
      <c r="S337">
        <v>360</v>
      </c>
      <c r="T337">
        <v>9.6199999999999992</v>
      </c>
      <c r="U337">
        <v>47.4</v>
      </c>
      <c r="V337">
        <v>9.2040000000000006</v>
      </c>
      <c r="W337" s="3">
        <f t="shared" si="32"/>
        <v>0.95675675675675687</v>
      </c>
      <c r="X337">
        <v>39</v>
      </c>
      <c r="Y337" s="3">
        <f t="shared" si="33"/>
        <v>0.82278481012658233</v>
      </c>
      <c r="Z337">
        <v>359</v>
      </c>
      <c r="AA337">
        <v>78.7</v>
      </c>
      <c r="AB337">
        <v>25.2</v>
      </c>
      <c r="AC337" t="s">
        <v>64</v>
      </c>
      <c r="AE337" t="s">
        <v>65</v>
      </c>
      <c r="AF337" t="s">
        <v>66</v>
      </c>
      <c r="AG337" s="2">
        <v>44107</v>
      </c>
      <c r="AH337" s="1">
        <v>0.6106597222222222</v>
      </c>
      <c r="AI337" t="s">
        <v>68</v>
      </c>
      <c r="AJ337" t="s">
        <v>69</v>
      </c>
      <c r="AO337">
        <v>7.6980000000000004</v>
      </c>
      <c r="AP337">
        <v>49.460999999999999</v>
      </c>
      <c r="AQ337">
        <v>12.8</v>
      </c>
      <c r="AR337">
        <v>1.925</v>
      </c>
      <c r="AS337">
        <v>44.957000000000001</v>
      </c>
      <c r="AT337">
        <v>51.2</v>
      </c>
      <c r="AY337">
        <v>2.69</v>
      </c>
      <c r="AZ337" s="2">
        <v>44138</v>
      </c>
      <c r="BB337" s="2">
        <v>44138</v>
      </c>
      <c r="BD337" t="s">
        <v>68</v>
      </c>
      <c r="BE337" t="s">
        <v>1488</v>
      </c>
      <c r="BF337" t="s">
        <v>1489</v>
      </c>
      <c r="BG337" t="s">
        <v>1490</v>
      </c>
      <c r="BH337">
        <v>0</v>
      </c>
      <c r="BI337">
        <v>1</v>
      </c>
      <c r="BJ337">
        <v>2</v>
      </c>
      <c r="BK337" t="s">
        <v>1491</v>
      </c>
      <c r="BL337">
        <v>8.8620000000000001</v>
      </c>
      <c r="BM337">
        <v>8.8620000000000001</v>
      </c>
      <c r="BN337" s="2">
        <v>44107</v>
      </c>
      <c r="BO337" s="1">
        <v>0.6106597222222222</v>
      </c>
      <c r="BP337" s="3">
        <f t="shared" si="34"/>
        <v>0.99502702702702717</v>
      </c>
      <c r="BQ337" s="3">
        <f t="shared" si="35"/>
        <v>1.0114717221561247</v>
      </c>
    </row>
    <row r="338" spans="1:69" hidden="1" x14ac:dyDescent="0.35">
      <c r="A338">
        <v>336</v>
      </c>
      <c r="B338">
        <v>4529</v>
      </c>
      <c r="D338">
        <v>12</v>
      </c>
      <c r="E338">
        <v>1</v>
      </c>
      <c r="G338">
        <v>19949.900000000001</v>
      </c>
      <c r="I338" t="s">
        <v>62</v>
      </c>
      <c r="L338" t="s">
        <v>1369</v>
      </c>
      <c r="M338">
        <v>9.6199999999999992</v>
      </c>
      <c r="N338">
        <v>47.87</v>
      </c>
      <c r="O338">
        <v>9.25</v>
      </c>
      <c r="P338" s="3">
        <f t="shared" si="30"/>
        <v>0.96153846153846156</v>
      </c>
      <c r="Q338">
        <v>38.94</v>
      </c>
      <c r="R338" s="3">
        <f t="shared" si="31"/>
        <v>0.81345310215166078</v>
      </c>
      <c r="S338">
        <v>360</v>
      </c>
      <c r="T338">
        <v>9.5579999999999998</v>
      </c>
      <c r="U338">
        <v>47.06</v>
      </c>
      <c r="V338">
        <v>9.1329999999999991</v>
      </c>
      <c r="W338" s="3">
        <f t="shared" si="32"/>
        <v>0.95553463067587352</v>
      </c>
      <c r="X338">
        <v>38.47</v>
      </c>
      <c r="Y338" s="3">
        <f t="shared" si="33"/>
        <v>0.8174670633234169</v>
      </c>
      <c r="Z338">
        <v>351.3</v>
      </c>
      <c r="AA338">
        <v>78.099999999999994</v>
      </c>
      <c r="AB338">
        <v>24.9</v>
      </c>
      <c r="AC338" t="s">
        <v>64</v>
      </c>
      <c r="AE338" t="s">
        <v>65</v>
      </c>
      <c r="AF338" t="s">
        <v>66</v>
      </c>
      <c r="AG338" s="2">
        <v>44229</v>
      </c>
      <c r="AH338" s="1">
        <v>0.41444444444444445</v>
      </c>
      <c r="AI338" t="s">
        <v>68</v>
      </c>
      <c r="AJ338" t="s">
        <v>69</v>
      </c>
      <c r="AO338">
        <v>7.6379999999999999</v>
      </c>
      <c r="AP338">
        <v>48.484999999999999</v>
      </c>
      <c r="AQ338">
        <v>12.8</v>
      </c>
      <c r="AR338">
        <v>1.91</v>
      </c>
      <c r="AS338">
        <v>43.905999999999999</v>
      </c>
      <c r="AT338">
        <v>51.2</v>
      </c>
      <c r="AY338">
        <v>2.76</v>
      </c>
      <c r="AZ338" s="2">
        <v>44410</v>
      </c>
      <c r="BB338" s="2">
        <v>44410</v>
      </c>
      <c r="BD338" t="s">
        <v>68</v>
      </c>
      <c r="BE338" t="s">
        <v>1492</v>
      </c>
      <c r="BF338" t="s">
        <v>1493</v>
      </c>
      <c r="BG338" t="s">
        <v>1494</v>
      </c>
      <c r="BH338">
        <v>0</v>
      </c>
      <c r="BI338">
        <v>0</v>
      </c>
      <c r="BJ338">
        <v>2</v>
      </c>
      <c r="BK338" t="s">
        <v>1495</v>
      </c>
      <c r="BL338">
        <v>8.8620000000000001</v>
      </c>
      <c r="BM338">
        <v>8.8620000000000001</v>
      </c>
      <c r="BN338" s="2">
        <v>44107</v>
      </c>
      <c r="BO338" s="1">
        <v>0.6106597222222222</v>
      </c>
      <c r="BP338" s="3">
        <f t="shared" si="34"/>
        <v>0.99375601590290841</v>
      </c>
      <c r="BQ338" s="3">
        <f t="shared" si="35"/>
        <v>1.0049344715277855</v>
      </c>
    </row>
    <row r="339" spans="1:69" hidden="1" x14ac:dyDescent="0.35">
      <c r="A339">
        <v>337</v>
      </c>
      <c r="B339">
        <v>4538</v>
      </c>
      <c r="D339">
        <v>12</v>
      </c>
      <c r="E339">
        <v>1</v>
      </c>
      <c r="G339">
        <v>19949.900000000001</v>
      </c>
      <c r="I339" t="s">
        <v>62</v>
      </c>
      <c r="L339" t="s">
        <v>183</v>
      </c>
      <c r="M339">
        <v>9.6199999999999992</v>
      </c>
      <c r="N339">
        <v>47.87</v>
      </c>
      <c r="O339">
        <v>9.25</v>
      </c>
      <c r="P339" s="3">
        <f t="shared" si="30"/>
        <v>0.96153846153846156</v>
      </c>
      <c r="Q339">
        <v>38.94</v>
      </c>
      <c r="R339" s="3">
        <f t="shared" si="31"/>
        <v>0.81345310215166078</v>
      </c>
      <c r="S339">
        <v>360</v>
      </c>
      <c r="T339">
        <v>9.6219999999999999</v>
      </c>
      <c r="U339">
        <v>47.54</v>
      </c>
      <c r="V339">
        <v>9.2129999999999992</v>
      </c>
      <c r="W339" s="3">
        <f t="shared" si="32"/>
        <v>0.95749324464768237</v>
      </c>
      <c r="X339">
        <v>39.159999999999997</v>
      </c>
      <c r="Y339" s="3">
        <f t="shared" si="33"/>
        <v>0.82372738746318885</v>
      </c>
      <c r="Z339">
        <v>360.8</v>
      </c>
      <c r="AA339">
        <v>78.900000000000006</v>
      </c>
      <c r="AB339">
        <v>24.6</v>
      </c>
      <c r="AC339" t="s">
        <v>64</v>
      </c>
      <c r="AE339" t="s">
        <v>65</v>
      </c>
      <c r="AF339" t="s">
        <v>66</v>
      </c>
      <c r="AG339" s="2">
        <v>44107</v>
      </c>
      <c r="AH339" s="1">
        <v>0.6300810185185185</v>
      </c>
      <c r="AI339" t="s">
        <v>68</v>
      </c>
      <c r="AJ339" t="s">
        <v>69</v>
      </c>
      <c r="AO339">
        <v>7.6980000000000004</v>
      </c>
      <c r="AP339">
        <v>49.161000000000001</v>
      </c>
      <c r="AQ339">
        <v>12.8</v>
      </c>
      <c r="AR339">
        <v>1.92</v>
      </c>
      <c r="AS339">
        <v>44.656999999999996</v>
      </c>
      <c r="AT339">
        <v>51.2</v>
      </c>
      <c r="AY339">
        <v>2.69</v>
      </c>
      <c r="AZ339" s="2">
        <v>44138</v>
      </c>
      <c r="BB339" s="2">
        <v>44138</v>
      </c>
      <c r="BD339" t="s">
        <v>68</v>
      </c>
      <c r="BE339" t="s">
        <v>1496</v>
      </c>
      <c r="BF339" t="s">
        <v>1497</v>
      </c>
      <c r="BG339" t="s">
        <v>1498</v>
      </c>
      <c r="BH339">
        <v>0</v>
      </c>
      <c r="BI339">
        <v>0</v>
      </c>
      <c r="BJ339">
        <v>1</v>
      </c>
      <c r="BK339" t="s">
        <v>1499</v>
      </c>
      <c r="BL339">
        <v>8.8620000000000001</v>
      </c>
      <c r="BM339">
        <v>8.8620000000000001</v>
      </c>
      <c r="BN339" s="2">
        <v>44107</v>
      </c>
      <c r="BO339" s="1">
        <v>0.6300810185185185</v>
      </c>
      <c r="BP339" s="3">
        <f t="shared" si="34"/>
        <v>0.99579297443358961</v>
      </c>
      <c r="BQ339" s="3">
        <f t="shared" si="35"/>
        <v>1.0126304580858461</v>
      </c>
    </row>
    <row r="340" spans="1:69" hidden="1" x14ac:dyDescent="0.35">
      <c r="A340">
        <v>338</v>
      </c>
      <c r="B340">
        <v>4527</v>
      </c>
      <c r="D340">
        <v>12</v>
      </c>
      <c r="E340">
        <v>1</v>
      </c>
      <c r="G340">
        <v>19949.900000000001</v>
      </c>
      <c r="I340" t="s">
        <v>62</v>
      </c>
      <c r="L340" t="s">
        <v>183</v>
      </c>
      <c r="M340">
        <v>9.6199999999999992</v>
      </c>
      <c r="N340">
        <v>47.87</v>
      </c>
      <c r="O340">
        <v>9.25</v>
      </c>
      <c r="P340" s="3">
        <f t="shared" si="30"/>
        <v>0.96153846153846156</v>
      </c>
      <c r="Q340">
        <v>38.94</v>
      </c>
      <c r="R340" s="3">
        <f t="shared" si="31"/>
        <v>0.81345310215166078</v>
      </c>
      <c r="S340">
        <v>360</v>
      </c>
      <c r="T340">
        <v>9.6170000000000009</v>
      </c>
      <c r="U340">
        <v>47.39</v>
      </c>
      <c r="V340">
        <v>9.2070000000000007</v>
      </c>
      <c r="W340" s="3">
        <f t="shared" si="32"/>
        <v>0.9573671623167308</v>
      </c>
      <c r="X340">
        <v>38.96</v>
      </c>
      <c r="Y340" s="3">
        <f t="shared" si="33"/>
        <v>0.82211437012027855</v>
      </c>
      <c r="Z340">
        <v>358.7</v>
      </c>
      <c r="AA340">
        <v>78.7</v>
      </c>
      <c r="AB340">
        <v>25.3</v>
      </c>
      <c r="AC340" t="s">
        <v>64</v>
      </c>
      <c r="AE340" t="s">
        <v>65</v>
      </c>
      <c r="AF340" t="s">
        <v>66</v>
      </c>
      <c r="AG340" s="2">
        <v>44107</v>
      </c>
      <c r="AH340" s="1">
        <v>0.60824074074074075</v>
      </c>
      <c r="AI340" t="s">
        <v>68</v>
      </c>
      <c r="AJ340" t="s">
        <v>69</v>
      </c>
      <c r="AO340">
        <v>7.6980000000000004</v>
      </c>
      <c r="AP340">
        <v>49.423000000000002</v>
      </c>
      <c r="AQ340">
        <v>12.8</v>
      </c>
      <c r="AR340">
        <v>1.925</v>
      </c>
      <c r="AS340">
        <v>44.918999999999997</v>
      </c>
      <c r="AT340">
        <v>51.2</v>
      </c>
      <c r="AY340">
        <v>2.69</v>
      </c>
      <c r="AZ340" s="2">
        <v>44138</v>
      </c>
      <c r="BB340" s="2">
        <v>44138</v>
      </c>
      <c r="BD340" t="s">
        <v>68</v>
      </c>
      <c r="BE340" t="s">
        <v>1500</v>
      </c>
      <c r="BF340" t="s">
        <v>1501</v>
      </c>
      <c r="BG340" t="s">
        <v>1502</v>
      </c>
      <c r="BH340">
        <v>0</v>
      </c>
      <c r="BI340">
        <v>0</v>
      </c>
      <c r="BJ340">
        <v>1</v>
      </c>
      <c r="BK340" t="s">
        <v>1503</v>
      </c>
      <c r="BL340">
        <v>8.8620000000000001</v>
      </c>
      <c r="BM340">
        <v>8.8620000000000001</v>
      </c>
      <c r="BN340" s="2">
        <v>44107</v>
      </c>
      <c r="BO340" s="1">
        <v>0.60824074074074075</v>
      </c>
      <c r="BP340" s="3">
        <f t="shared" si="34"/>
        <v>0.99566184880940001</v>
      </c>
      <c r="BQ340" s="3">
        <f t="shared" si="35"/>
        <v>1.010647532040517</v>
      </c>
    </row>
    <row r="341" spans="1:69" hidden="1" x14ac:dyDescent="0.35">
      <c r="A341">
        <v>339</v>
      </c>
      <c r="B341">
        <v>4542</v>
      </c>
      <c r="D341">
        <v>12</v>
      </c>
      <c r="E341">
        <v>1</v>
      </c>
      <c r="G341">
        <v>19949.900000000001</v>
      </c>
      <c r="I341" t="s">
        <v>62</v>
      </c>
      <c r="L341" t="s">
        <v>183</v>
      </c>
      <c r="M341">
        <v>9.6199999999999992</v>
      </c>
      <c r="N341">
        <v>47.87</v>
      </c>
      <c r="O341">
        <v>9.25</v>
      </c>
      <c r="P341" s="3">
        <f t="shared" si="30"/>
        <v>0.96153846153846156</v>
      </c>
      <c r="Q341">
        <v>38.94</v>
      </c>
      <c r="R341" s="3">
        <f t="shared" si="31"/>
        <v>0.81345310215166078</v>
      </c>
      <c r="S341">
        <v>360</v>
      </c>
      <c r="T341">
        <v>9.5739999999999998</v>
      </c>
      <c r="U341">
        <v>47.36</v>
      </c>
      <c r="V341">
        <v>9.1449999999999996</v>
      </c>
      <c r="W341" s="3">
        <f t="shared" si="32"/>
        <v>0.95519114267808647</v>
      </c>
      <c r="X341">
        <v>38.950000000000003</v>
      </c>
      <c r="Y341" s="3">
        <f t="shared" si="33"/>
        <v>0.82242398648648651</v>
      </c>
      <c r="Z341">
        <v>356.2</v>
      </c>
      <c r="AA341">
        <v>78.599999999999994</v>
      </c>
      <c r="AB341">
        <v>25</v>
      </c>
      <c r="AC341" t="s">
        <v>64</v>
      </c>
      <c r="AE341" t="s">
        <v>65</v>
      </c>
      <c r="AF341" t="s">
        <v>66</v>
      </c>
      <c r="AG341" t="s">
        <v>1374</v>
      </c>
      <c r="AH341" s="1">
        <v>0.37975694444444447</v>
      </c>
      <c r="AI341" t="s">
        <v>68</v>
      </c>
      <c r="AJ341" t="s">
        <v>69</v>
      </c>
      <c r="AO341">
        <v>7.6980000000000004</v>
      </c>
      <c r="AP341">
        <v>49.347999999999999</v>
      </c>
      <c r="AQ341">
        <v>12.8</v>
      </c>
      <c r="AR341">
        <v>1.925</v>
      </c>
      <c r="AS341">
        <v>44.731999999999999</v>
      </c>
      <c r="AT341">
        <v>51.2</v>
      </c>
      <c r="AY341">
        <v>2.69</v>
      </c>
      <c r="AZ341" t="s">
        <v>1375</v>
      </c>
      <c r="BB341" t="s">
        <v>1375</v>
      </c>
      <c r="BD341" t="s">
        <v>68</v>
      </c>
      <c r="BE341" t="s">
        <v>1504</v>
      </c>
      <c r="BF341" t="s">
        <v>1505</v>
      </c>
      <c r="BG341" t="s">
        <v>1506</v>
      </c>
      <c r="BH341">
        <v>0</v>
      </c>
      <c r="BI341">
        <v>0</v>
      </c>
      <c r="BJ341">
        <v>1</v>
      </c>
      <c r="BK341" t="s">
        <v>1507</v>
      </c>
      <c r="BL341">
        <v>8.8620000000000001</v>
      </c>
      <c r="BM341">
        <v>8.8620000000000001</v>
      </c>
      <c r="BN341" t="s">
        <v>1374</v>
      </c>
      <c r="BO341" s="1">
        <v>0.37975694444444447</v>
      </c>
      <c r="BP341" s="3">
        <f t="shared" si="34"/>
        <v>0.9933987883852099</v>
      </c>
      <c r="BQ341" s="3">
        <f t="shared" si="35"/>
        <v>1.0110281518517747</v>
      </c>
    </row>
    <row r="342" spans="1:69" hidden="1" x14ac:dyDescent="0.35">
      <c r="A342">
        <v>340</v>
      </c>
      <c r="B342">
        <v>4509</v>
      </c>
      <c r="D342">
        <v>12</v>
      </c>
      <c r="E342">
        <v>1</v>
      </c>
      <c r="G342">
        <v>19949.900000000001</v>
      </c>
      <c r="I342" t="s">
        <v>62</v>
      </c>
      <c r="L342" t="s">
        <v>183</v>
      </c>
      <c r="M342">
        <v>9.6199999999999992</v>
      </c>
      <c r="N342">
        <v>47.87</v>
      </c>
      <c r="O342">
        <v>9.25</v>
      </c>
      <c r="P342" s="3">
        <f t="shared" si="30"/>
        <v>0.96153846153846156</v>
      </c>
      <c r="Q342">
        <v>38.94</v>
      </c>
      <c r="R342" s="3">
        <f t="shared" si="31"/>
        <v>0.81345310215166078</v>
      </c>
      <c r="S342">
        <v>360</v>
      </c>
      <c r="T342">
        <v>9.6039999999999992</v>
      </c>
      <c r="U342">
        <v>47.4</v>
      </c>
      <c r="V342">
        <v>9.202</v>
      </c>
      <c r="W342" s="3">
        <f t="shared" si="32"/>
        <v>0.95814244064972931</v>
      </c>
      <c r="X342">
        <v>38.869999999999997</v>
      </c>
      <c r="Y342" s="3">
        <f t="shared" si="33"/>
        <v>0.82004219409282697</v>
      </c>
      <c r="Z342">
        <v>357.7</v>
      </c>
      <c r="AA342">
        <v>78.599999999999994</v>
      </c>
      <c r="AB342">
        <v>24.9</v>
      </c>
      <c r="AC342" t="s">
        <v>64</v>
      </c>
      <c r="AE342" t="s">
        <v>65</v>
      </c>
      <c r="AF342" t="s">
        <v>66</v>
      </c>
      <c r="AG342" s="2">
        <v>44107</v>
      </c>
      <c r="AH342" s="1">
        <v>0.57174768518518515</v>
      </c>
      <c r="AI342" t="s">
        <v>68</v>
      </c>
      <c r="AJ342" t="s">
        <v>69</v>
      </c>
      <c r="AO342">
        <v>7.6980000000000004</v>
      </c>
      <c r="AP342">
        <v>49.648000000000003</v>
      </c>
      <c r="AQ342">
        <v>12.8</v>
      </c>
      <c r="AR342">
        <v>1.925</v>
      </c>
      <c r="AS342">
        <v>45.031999999999996</v>
      </c>
      <c r="AT342">
        <v>51.2</v>
      </c>
      <c r="AY342">
        <v>2.69</v>
      </c>
      <c r="AZ342" s="2">
        <v>44138</v>
      </c>
      <c r="BB342" s="2">
        <v>44138</v>
      </c>
      <c r="BD342" t="s">
        <v>68</v>
      </c>
      <c r="BE342" t="s">
        <v>1508</v>
      </c>
      <c r="BF342" t="s">
        <v>1509</v>
      </c>
      <c r="BG342" t="s">
        <v>1510</v>
      </c>
      <c r="BH342">
        <v>0</v>
      </c>
      <c r="BI342">
        <v>0</v>
      </c>
      <c r="BJ342">
        <v>1</v>
      </c>
      <c r="BK342" t="s">
        <v>1511</v>
      </c>
      <c r="BL342">
        <v>8.8620000000000001</v>
      </c>
      <c r="BM342">
        <v>8.8620000000000001</v>
      </c>
      <c r="BN342" s="2">
        <v>44107</v>
      </c>
      <c r="BO342" s="1">
        <v>0.57174768518518515</v>
      </c>
      <c r="BP342" s="3">
        <f t="shared" si="34"/>
        <v>0.99646813827571845</v>
      </c>
      <c r="BQ342" s="3">
        <f t="shared" si="35"/>
        <v>1.0081001497489375</v>
      </c>
    </row>
    <row r="343" spans="1:69" hidden="1" x14ac:dyDescent="0.35">
      <c r="A343">
        <v>341</v>
      </c>
      <c r="B343">
        <v>4516</v>
      </c>
      <c r="D343">
        <v>12</v>
      </c>
      <c r="E343">
        <v>1</v>
      </c>
      <c r="G343">
        <v>19949.900000000001</v>
      </c>
      <c r="I343" t="s">
        <v>62</v>
      </c>
      <c r="L343" t="s">
        <v>183</v>
      </c>
      <c r="M343">
        <v>9.6199999999999992</v>
      </c>
      <c r="N343">
        <v>47.87</v>
      </c>
      <c r="O343">
        <v>9.25</v>
      </c>
      <c r="P343" s="3">
        <f t="shared" si="30"/>
        <v>0.96153846153846156</v>
      </c>
      <c r="Q343">
        <v>38.94</v>
      </c>
      <c r="R343" s="3">
        <f t="shared" si="31"/>
        <v>0.81345310215166078</v>
      </c>
      <c r="S343">
        <v>360</v>
      </c>
      <c r="T343">
        <v>9.6270000000000007</v>
      </c>
      <c r="U343">
        <v>47.42</v>
      </c>
      <c r="V343">
        <v>9.18</v>
      </c>
      <c r="W343" s="3">
        <f t="shared" si="32"/>
        <v>0.95356808974758478</v>
      </c>
      <c r="X343">
        <v>39.04</v>
      </c>
      <c r="Y343" s="3">
        <f t="shared" si="33"/>
        <v>0.82328131590046394</v>
      </c>
      <c r="Z343">
        <v>358.4</v>
      </c>
      <c r="AA343">
        <v>78.5</v>
      </c>
      <c r="AB343">
        <v>25.3</v>
      </c>
      <c r="AC343" t="s">
        <v>64</v>
      </c>
      <c r="AE343" t="s">
        <v>65</v>
      </c>
      <c r="AF343" t="s">
        <v>66</v>
      </c>
      <c r="AG343" s="2">
        <v>44107</v>
      </c>
      <c r="AH343" s="1">
        <v>0.58629629629629632</v>
      </c>
      <c r="AI343" t="s">
        <v>68</v>
      </c>
      <c r="AJ343" t="s">
        <v>69</v>
      </c>
      <c r="AO343">
        <v>7.6980000000000004</v>
      </c>
      <c r="AP343">
        <v>49.648000000000003</v>
      </c>
      <c r="AQ343">
        <v>12.8</v>
      </c>
      <c r="AR343">
        <v>1.925</v>
      </c>
      <c r="AS343">
        <v>45.106999999999999</v>
      </c>
      <c r="AT343">
        <v>51.2</v>
      </c>
      <c r="AY343">
        <v>2.69</v>
      </c>
      <c r="AZ343" s="2">
        <v>44138</v>
      </c>
      <c r="BB343" s="2">
        <v>44138</v>
      </c>
      <c r="BD343" t="s">
        <v>68</v>
      </c>
      <c r="BE343" t="s">
        <v>1512</v>
      </c>
      <c r="BF343" t="s">
        <v>1513</v>
      </c>
      <c r="BG343" t="s">
        <v>1514</v>
      </c>
      <c r="BH343">
        <v>0</v>
      </c>
      <c r="BI343">
        <v>0</v>
      </c>
      <c r="BJ343">
        <v>1</v>
      </c>
      <c r="BK343" t="s">
        <v>1515</v>
      </c>
      <c r="BL343">
        <v>8.8620000000000001</v>
      </c>
      <c r="BM343">
        <v>8.8620000000000001</v>
      </c>
      <c r="BN343" s="2">
        <v>44107</v>
      </c>
      <c r="BO343" s="1">
        <v>0.58629629629629632</v>
      </c>
      <c r="BP343" s="3">
        <f t="shared" si="34"/>
        <v>0.99171081333748812</v>
      </c>
      <c r="BQ343" s="3">
        <f t="shared" si="35"/>
        <v>1.0120820901940217</v>
      </c>
    </row>
    <row r="344" spans="1:69" hidden="1" x14ac:dyDescent="0.35">
      <c r="A344">
        <v>342</v>
      </c>
      <c r="B344">
        <v>4548</v>
      </c>
      <c r="D344">
        <v>12</v>
      </c>
      <c r="E344">
        <v>1</v>
      </c>
      <c r="G344">
        <v>19949.900000000001</v>
      </c>
      <c r="I344" t="s">
        <v>62</v>
      </c>
      <c r="L344" t="s">
        <v>183</v>
      </c>
      <c r="M344">
        <v>9.6199999999999992</v>
      </c>
      <c r="N344">
        <v>47.87</v>
      </c>
      <c r="O344">
        <v>9.25</v>
      </c>
      <c r="P344" s="3">
        <f t="shared" si="30"/>
        <v>0.96153846153846156</v>
      </c>
      <c r="Q344">
        <v>38.94</v>
      </c>
      <c r="R344" s="3">
        <f t="shared" si="31"/>
        <v>0.81345310215166078</v>
      </c>
      <c r="S344">
        <v>360</v>
      </c>
      <c r="T344">
        <v>9.57</v>
      </c>
      <c r="U344">
        <v>47.46</v>
      </c>
      <c r="V344">
        <v>9.16</v>
      </c>
      <c r="W344" s="3">
        <f t="shared" si="32"/>
        <v>0.9571577847439916</v>
      </c>
      <c r="X344">
        <v>39.01</v>
      </c>
      <c r="Y344" s="3">
        <f t="shared" si="33"/>
        <v>0.82195533080488825</v>
      </c>
      <c r="Z344">
        <v>357.3</v>
      </c>
      <c r="AA344">
        <v>78.7</v>
      </c>
      <c r="AB344">
        <v>24.9</v>
      </c>
      <c r="AC344" t="s">
        <v>64</v>
      </c>
      <c r="AE344" t="s">
        <v>65</v>
      </c>
      <c r="AF344" t="s">
        <v>66</v>
      </c>
      <c r="AG344" t="s">
        <v>1374</v>
      </c>
      <c r="AH344" s="1">
        <v>0.38746527777777778</v>
      </c>
      <c r="AI344" t="s">
        <v>68</v>
      </c>
      <c r="AJ344" t="s">
        <v>69</v>
      </c>
      <c r="AO344">
        <v>7.6980000000000004</v>
      </c>
      <c r="AP344">
        <v>49.401000000000003</v>
      </c>
      <c r="AQ344">
        <v>12.8</v>
      </c>
      <c r="AR344">
        <v>1.925</v>
      </c>
      <c r="AS344">
        <v>44.807000000000002</v>
      </c>
      <c r="AT344">
        <v>51.2</v>
      </c>
      <c r="AY344">
        <v>2.69</v>
      </c>
      <c r="AZ344" t="s">
        <v>1375</v>
      </c>
      <c r="BB344" t="s">
        <v>1375</v>
      </c>
      <c r="BD344" t="s">
        <v>68</v>
      </c>
      <c r="BE344" t="s">
        <v>1516</v>
      </c>
      <c r="BF344" t="s">
        <v>1517</v>
      </c>
      <c r="BG344" t="s">
        <v>1518</v>
      </c>
      <c r="BH344">
        <v>0</v>
      </c>
      <c r="BI344">
        <v>1</v>
      </c>
      <c r="BJ344">
        <v>2</v>
      </c>
      <c r="BK344" t="s">
        <v>1519</v>
      </c>
      <c r="BL344">
        <v>8.8620000000000001</v>
      </c>
      <c r="BM344">
        <v>8.8620000000000001</v>
      </c>
      <c r="BN344" t="s">
        <v>1374</v>
      </c>
      <c r="BO344" s="1">
        <v>0.38746527777777778</v>
      </c>
      <c r="BP344" s="3">
        <f t="shared" si="34"/>
        <v>0.99544409613375129</v>
      </c>
      <c r="BQ344" s="3">
        <f t="shared" si="35"/>
        <v>1.0104520206890086</v>
      </c>
    </row>
    <row r="345" spans="1:69" hidden="1" x14ac:dyDescent="0.35">
      <c r="A345">
        <v>343</v>
      </c>
      <c r="B345">
        <v>4548</v>
      </c>
      <c r="D345">
        <v>12</v>
      </c>
      <c r="E345">
        <v>1</v>
      </c>
      <c r="G345">
        <v>19949.900000000001</v>
      </c>
      <c r="I345" t="s">
        <v>62</v>
      </c>
      <c r="L345" t="s">
        <v>1520</v>
      </c>
      <c r="M345">
        <v>9.6199999999999992</v>
      </c>
      <c r="N345">
        <v>47.87</v>
      </c>
      <c r="O345">
        <v>9.25</v>
      </c>
      <c r="P345" s="3">
        <f t="shared" si="30"/>
        <v>0.96153846153846156</v>
      </c>
      <c r="Q345">
        <v>38.94</v>
      </c>
      <c r="R345" s="3">
        <f t="shared" si="31"/>
        <v>0.81345310215166078</v>
      </c>
      <c r="S345">
        <v>360</v>
      </c>
      <c r="T345">
        <v>9.5540000000000003</v>
      </c>
      <c r="U345">
        <v>47.09</v>
      </c>
      <c r="V345">
        <v>9.1389999999999993</v>
      </c>
      <c r="W345" s="3">
        <f t="shared" si="32"/>
        <v>0.95656269625287826</v>
      </c>
      <c r="X345">
        <v>38.43</v>
      </c>
      <c r="Y345" s="3">
        <f t="shared" si="33"/>
        <v>0.81609683584625181</v>
      </c>
      <c r="Z345">
        <v>351.2</v>
      </c>
      <c r="AA345">
        <v>78</v>
      </c>
      <c r="AB345">
        <v>25.2</v>
      </c>
      <c r="AC345" t="s">
        <v>64</v>
      </c>
      <c r="AE345" t="s">
        <v>65</v>
      </c>
      <c r="AF345" t="s">
        <v>66</v>
      </c>
      <c r="AG345" s="2">
        <v>44229</v>
      </c>
      <c r="AH345" s="1">
        <v>0.4236111111111111</v>
      </c>
      <c r="AI345" t="s">
        <v>68</v>
      </c>
      <c r="AJ345" t="s">
        <v>69</v>
      </c>
      <c r="AO345">
        <v>7.6379999999999999</v>
      </c>
      <c r="AP345">
        <v>48.072000000000003</v>
      </c>
      <c r="AQ345">
        <v>12.8</v>
      </c>
      <c r="AR345">
        <v>1.91</v>
      </c>
      <c r="AS345">
        <v>43.869</v>
      </c>
      <c r="AT345">
        <v>51.2</v>
      </c>
      <c r="AY345">
        <v>2.76</v>
      </c>
      <c r="AZ345" s="2">
        <v>44410</v>
      </c>
      <c r="BB345" s="2">
        <v>44410</v>
      </c>
      <c r="BD345" t="s">
        <v>68</v>
      </c>
      <c r="BE345" t="s">
        <v>1521</v>
      </c>
      <c r="BF345" t="s">
        <v>1522</v>
      </c>
      <c r="BG345" t="s">
        <v>1523</v>
      </c>
      <c r="BH345">
        <v>0</v>
      </c>
      <c r="BI345">
        <v>0</v>
      </c>
      <c r="BJ345">
        <v>2</v>
      </c>
      <c r="BK345" t="s">
        <v>1524</v>
      </c>
      <c r="BL345">
        <v>8.8620000000000001</v>
      </c>
      <c r="BM345">
        <v>8.8620000000000001</v>
      </c>
      <c r="BN345" t="s">
        <v>1374</v>
      </c>
      <c r="BO345" s="1">
        <v>0.38746527777777778</v>
      </c>
      <c r="BP345" s="3">
        <f t="shared" si="34"/>
        <v>0.99482520410299335</v>
      </c>
      <c r="BQ345" s="3">
        <f t="shared" si="35"/>
        <v>1.0032500136610187</v>
      </c>
    </row>
    <row r="346" spans="1:69" hidden="1" x14ac:dyDescent="0.35">
      <c r="A346">
        <v>344</v>
      </c>
      <c r="B346">
        <v>4555</v>
      </c>
      <c r="D346">
        <v>12</v>
      </c>
      <c r="E346">
        <v>1</v>
      </c>
      <c r="G346">
        <v>19949.900000000001</v>
      </c>
      <c r="I346" t="s">
        <v>62</v>
      </c>
      <c r="L346" t="s">
        <v>183</v>
      </c>
      <c r="M346">
        <v>9.6199999999999992</v>
      </c>
      <c r="N346">
        <v>47.87</v>
      </c>
      <c r="O346">
        <v>9.25</v>
      </c>
      <c r="P346" s="3">
        <f t="shared" si="30"/>
        <v>0.96153846153846156</v>
      </c>
      <c r="Q346">
        <v>38.94</v>
      </c>
      <c r="R346" s="3">
        <f t="shared" si="31"/>
        <v>0.81345310215166078</v>
      </c>
      <c r="S346">
        <v>360</v>
      </c>
      <c r="T346">
        <v>9.548</v>
      </c>
      <c r="U346">
        <v>47.36</v>
      </c>
      <c r="V346">
        <v>9.1430000000000007</v>
      </c>
      <c r="W346" s="3">
        <f t="shared" si="32"/>
        <v>0.95758273984080444</v>
      </c>
      <c r="X346">
        <v>39</v>
      </c>
      <c r="Y346" s="3">
        <f t="shared" si="33"/>
        <v>0.82347972972972971</v>
      </c>
      <c r="Z346">
        <v>356.5</v>
      </c>
      <c r="AA346">
        <v>78.900000000000006</v>
      </c>
      <c r="AB346">
        <v>24.9</v>
      </c>
      <c r="AC346" t="s">
        <v>64</v>
      </c>
      <c r="AE346" t="s">
        <v>65</v>
      </c>
      <c r="AF346" t="s">
        <v>66</v>
      </c>
      <c r="AG346" t="s">
        <v>1374</v>
      </c>
      <c r="AH346" s="1">
        <v>0.39861111111111114</v>
      </c>
      <c r="AI346" t="s">
        <v>68</v>
      </c>
      <c r="AJ346" t="s">
        <v>69</v>
      </c>
      <c r="AO346">
        <v>7.6980000000000004</v>
      </c>
      <c r="AP346">
        <v>49.311</v>
      </c>
      <c r="AQ346">
        <v>12.8</v>
      </c>
      <c r="AR346">
        <v>1.92</v>
      </c>
      <c r="AS346">
        <v>44.844000000000001</v>
      </c>
      <c r="AT346">
        <v>51.2</v>
      </c>
      <c r="AY346">
        <v>2.69</v>
      </c>
      <c r="AZ346" t="s">
        <v>1375</v>
      </c>
      <c r="BB346" t="s">
        <v>1375</v>
      </c>
      <c r="BD346" t="s">
        <v>68</v>
      </c>
      <c r="BE346" t="s">
        <v>1525</v>
      </c>
      <c r="BF346" t="s">
        <v>1526</v>
      </c>
      <c r="BG346" t="s">
        <v>1527</v>
      </c>
      <c r="BH346">
        <v>0</v>
      </c>
      <c r="BI346">
        <v>0</v>
      </c>
      <c r="BJ346">
        <v>1</v>
      </c>
      <c r="BK346" t="s">
        <v>1528</v>
      </c>
      <c r="BL346">
        <v>8.8620000000000001</v>
      </c>
      <c r="BM346">
        <v>8.8620000000000001</v>
      </c>
      <c r="BN346" t="s">
        <v>1374</v>
      </c>
      <c r="BO346" s="1">
        <v>0.39861111111111114</v>
      </c>
      <c r="BP346" s="3">
        <f t="shared" si="34"/>
        <v>0.99588604943443659</v>
      </c>
      <c r="BQ346" s="3">
        <f t="shared" si="35"/>
        <v>1.012326005705243</v>
      </c>
    </row>
    <row r="347" spans="1:69" hidden="1" x14ac:dyDescent="0.35">
      <c r="A347">
        <v>345</v>
      </c>
      <c r="B347">
        <v>4513</v>
      </c>
      <c r="D347">
        <v>12</v>
      </c>
      <c r="E347">
        <v>1</v>
      </c>
      <c r="G347">
        <v>19949.900000000001</v>
      </c>
      <c r="I347" t="s">
        <v>62</v>
      </c>
      <c r="L347" t="s">
        <v>183</v>
      </c>
      <c r="M347">
        <v>9.6199999999999992</v>
      </c>
      <c r="N347">
        <v>47.87</v>
      </c>
      <c r="O347">
        <v>9.25</v>
      </c>
      <c r="P347" s="3">
        <f t="shared" si="30"/>
        <v>0.96153846153846156</v>
      </c>
      <c r="Q347">
        <v>38.94</v>
      </c>
      <c r="R347" s="3">
        <f t="shared" si="31"/>
        <v>0.81345310215166078</v>
      </c>
      <c r="S347">
        <v>360</v>
      </c>
      <c r="T347">
        <v>9.6029999999999998</v>
      </c>
      <c r="U347">
        <v>47.38</v>
      </c>
      <c r="V347">
        <v>9.1850000000000005</v>
      </c>
      <c r="W347" s="3">
        <f t="shared" si="32"/>
        <v>0.9564719358533792</v>
      </c>
      <c r="X347">
        <v>38.79</v>
      </c>
      <c r="Y347" s="3">
        <f t="shared" si="33"/>
        <v>0.81869987336428862</v>
      </c>
      <c r="Z347">
        <v>356.3</v>
      </c>
      <c r="AA347">
        <v>78.3</v>
      </c>
      <c r="AB347">
        <v>25</v>
      </c>
      <c r="AC347" t="s">
        <v>64</v>
      </c>
      <c r="AE347" t="s">
        <v>65</v>
      </c>
      <c r="AF347" t="s">
        <v>66</v>
      </c>
      <c r="AG347" s="2">
        <v>44107</v>
      </c>
      <c r="AH347" s="1">
        <v>0.58202546296296298</v>
      </c>
      <c r="AI347" t="s">
        <v>68</v>
      </c>
      <c r="AJ347" t="s">
        <v>69</v>
      </c>
      <c r="AO347">
        <v>7.6980000000000004</v>
      </c>
      <c r="AP347">
        <v>49.610999999999997</v>
      </c>
      <c r="AQ347">
        <v>12.8</v>
      </c>
      <c r="AR347">
        <v>1.93</v>
      </c>
      <c r="AS347">
        <v>44.881999999999998</v>
      </c>
      <c r="AT347">
        <v>51.2</v>
      </c>
      <c r="AY347">
        <v>2.69</v>
      </c>
      <c r="AZ347" s="2">
        <v>44138</v>
      </c>
      <c r="BB347" s="2">
        <v>44138</v>
      </c>
      <c r="BD347" t="s">
        <v>68</v>
      </c>
      <c r="BE347" t="s">
        <v>1529</v>
      </c>
      <c r="BF347" t="s">
        <v>1530</v>
      </c>
      <c r="BG347" t="s">
        <v>1531</v>
      </c>
      <c r="BH347">
        <v>0</v>
      </c>
      <c r="BI347">
        <v>0</v>
      </c>
      <c r="BJ347">
        <v>1</v>
      </c>
      <c r="BK347" t="s">
        <v>1532</v>
      </c>
      <c r="BL347">
        <v>8.8620000000000001</v>
      </c>
      <c r="BM347">
        <v>8.8620000000000001</v>
      </c>
      <c r="BN347" s="2">
        <v>44107</v>
      </c>
      <c r="BO347" s="1">
        <v>0.58202546296296298</v>
      </c>
      <c r="BP347" s="3">
        <f t="shared" si="34"/>
        <v>0.99473081328751434</v>
      </c>
      <c r="BQ347" s="3">
        <f t="shared" si="35"/>
        <v>1.0064499984064843</v>
      </c>
    </row>
    <row r="348" spans="1:69" hidden="1" x14ac:dyDescent="0.35">
      <c r="A348">
        <v>346</v>
      </c>
      <c r="B348">
        <v>4511</v>
      </c>
      <c r="D348">
        <v>12</v>
      </c>
      <c r="E348">
        <v>1</v>
      </c>
      <c r="G348">
        <v>19949.900000000001</v>
      </c>
      <c r="I348" t="s">
        <v>62</v>
      </c>
      <c r="L348" t="s">
        <v>183</v>
      </c>
      <c r="M348">
        <v>9.6199999999999992</v>
      </c>
      <c r="N348">
        <v>47.87</v>
      </c>
      <c r="O348">
        <v>9.25</v>
      </c>
      <c r="P348" s="3">
        <f t="shared" si="30"/>
        <v>0.96153846153846156</v>
      </c>
      <c r="Q348">
        <v>38.94</v>
      </c>
      <c r="R348" s="3">
        <f t="shared" si="31"/>
        <v>0.81345310215166078</v>
      </c>
      <c r="S348">
        <v>360</v>
      </c>
      <c r="T348">
        <v>9.6080000000000005</v>
      </c>
      <c r="U348">
        <v>47.49</v>
      </c>
      <c r="V348">
        <v>9.2149999999999999</v>
      </c>
      <c r="W348" s="3">
        <f t="shared" si="32"/>
        <v>0.95909658617818483</v>
      </c>
      <c r="X348">
        <v>39.06</v>
      </c>
      <c r="Y348" s="3">
        <f t="shared" si="33"/>
        <v>0.82248894504106129</v>
      </c>
      <c r="Z348">
        <v>359.9</v>
      </c>
      <c r="AA348">
        <v>78.900000000000006</v>
      </c>
      <c r="AB348">
        <v>25.1</v>
      </c>
      <c r="AC348" t="s">
        <v>64</v>
      </c>
      <c r="AE348" t="s">
        <v>65</v>
      </c>
      <c r="AF348" t="s">
        <v>66</v>
      </c>
      <c r="AG348" s="2">
        <v>44107</v>
      </c>
      <c r="AH348" s="1">
        <v>0.57854166666666662</v>
      </c>
      <c r="AI348" t="s">
        <v>68</v>
      </c>
      <c r="AJ348" t="s">
        <v>69</v>
      </c>
      <c r="AO348">
        <v>7.6980000000000004</v>
      </c>
      <c r="AP348">
        <v>49.686</v>
      </c>
      <c r="AQ348">
        <v>12.8</v>
      </c>
      <c r="AR348">
        <v>1.925</v>
      </c>
      <c r="AS348">
        <v>45.182000000000002</v>
      </c>
      <c r="AT348">
        <v>51.2</v>
      </c>
      <c r="AY348">
        <v>2.69</v>
      </c>
      <c r="AZ348" s="2">
        <v>44138</v>
      </c>
      <c r="BB348" s="2">
        <v>44138</v>
      </c>
      <c r="BD348" t="s">
        <v>68</v>
      </c>
      <c r="BE348" t="s">
        <v>1533</v>
      </c>
      <c r="BF348" t="s">
        <v>1534</v>
      </c>
      <c r="BG348" t="s">
        <v>1535</v>
      </c>
      <c r="BH348">
        <v>0</v>
      </c>
      <c r="BI348">
        <v>0</v>
      </c>
      <c r="BJ348">
        <v>1</v>
      </c>
      <c r="BK348" t="s">
        <v>1536</v>
      </c>
      <c r="BL348">
        <v>8.8620000000000001</v>
      </c>
      <c r="BM348">
        <v>8.8620000000000001</v>
      </c>
      <c r="BN348" s="2">
        <v>44107</v>
      </c>
      <c r="BO348" s="1">
        <v>0.57854166666666662</v>
      </c>
      <c r="BP348" s="3">
        <f t="shared" si="34"/>
        <v>0.99746044962531222</v>
      </c>
      <c r="BQ348" s="3">
        <f t="shared" si="35"/>
        <v>1.0111080071678378</v>
      </c>
    </row>
    <row r="349" spans="1:69" hidden="1" x14ac:dyDescent="0.35">
      <c r="A349">
        <v>347</v>
      </c>
      <c r="B349">
        <v>4556</v>
      </c>
      <c r="D349">
        <v>12</v>
      </c>
      <c r="E349">
        <v>1</v>
      </c>
      <c r="G349">
        <v>19949.900000000001</v>
      </c>
      <c r="I349" t="s">
        <v>62</v>
      </c>
      <c r="L349" t="s">
        <v>183</v>
      </c>
      <c r="M349">
        <v>9.6199999999999992</v>
      </c>
      <c r="N349">
        <v>47.87</v>
      </c>
      <c r="O349">
        <v>9.25</v>
      </c>
      <c r="P349" s="3">
        <f t="shared" si="30"/>
        <v>0.96153846153846156</v>
      </c>
      <c r="Q349">
        <v>38.94</v>
      </c>
      <c r="R349" s="3">
        <f t="shared" si="31"/>
        <v>0.81345310215166078</v>
      </c>
      <c r="S349">
        <v>360</v>
      </c>
      <c r="T349">
        <v>9.57</v>
      </c>
      <c r="U349">
        <v>47.35</v>
      </c>
      <c r="V349">
        <v>9.1449999999999996</v>
      </c>
      <c r="W349" s="3">
        <f t="shared" si="32"/>
        <v>0.95559038662486928</v>
      </c>
      <c r="X349">
        <v>39.01</v>
      </c>
      <c r="Y349" s="3">
        <f t="shared" si="33"/>
        <v>0.82386483632523755</v>
      </c>
      <c r="Z349">
        <v>356.7</v>
      </c>
      <c r="AA349">
        <v>78.7</v>
      </c>
      <c r="AB349">
        <v>24.9</v>
      </c>
      <c r="AC349" t="s">
        <v>64</v>
      </c>
      <c r="AE349" t="s">
        <v>65</v>
      </c>
      <c r="AF349" t="s">
        <v>66</v>
      </c>
      <c r="AG349" t="s">
        <v>1374</v>
      </c>
      <c r="AH349" s="1">
        <v>0.39976851851851852</v>
      </c>
      <c r="AI349" t="s">
        <v>68</v>
      </c>
      <c r="AJ349" t="s">
        <v>69</v>
      </c>
      <c r="AO349">
        <v>7.6980000000000004</v>
      </c>
      <c r="AP349">
        <v>49.460999999999999</v>
      </c>
      <c r="AQ349">
        <v>12.8</v>
      </c>
      <c r="AR349">
        <v>1.92</v>
      </c>
      <c r="AS349">
        <v>44.881999999999998</v>
      </c>
      <c r="AT349">
        <v>51.2</v>
      </c>
      <c r="AY349">
        <v>2.69</v>
      </c>
      <c r="AZ349" t="s">
        <v>1375</v>
      </c>
      <c r="BB349" t="s">
        <v>1375</v>
      </c>
      <c r="BD349" t="s">
        <v>68</v>
      </c>
      <c r="BE349" t="s">
        <v>1537</v>
      </c>
      <c r="BF349" t="s">
        <v>1538</v>
      </c>
      <c r="BG349" t="s">
        <v>1539</v>
      </c>
      <c r="BH349">
        <v>0</v>
      </c>
      <c r="BI349">
        <v>0</v>
      </c>
      <c r="BJ349">
        <v>1</v>
      </c>
      <c r="BK349" t="s">
        <v>1540</v>
      </c>
      <c r="BL349">
        <v>8.8620000000000001</v>
      </c>
      <c r="BM349">
        <v>8.8620000000000001</v>
      </c>
      <c r="BN349" t="s">
        <v>1374</v>
      </c>
      <c r="BO349" s="1">
        <v>0.39976851851851852</v>
      </c>
      <c r="BP349" s="3">
        <f t="shared" si="34"/>
        <v>0.99381400208986403</v>
      </c>
      <c r="BQ349" s="3">
        <f t="shared" si="35"/>
        <v>1.0127994277064489</v>
      </c>
    </row>
    <row r="350" spans="1:69" hidden="1" x14ac:dyDescent="0.35">
      <c r="A350">
        <v>348</v>
      </c>
      <c r="B350">
        <v>4514</v>
      </c>
      <c r="D350">
        <v>12</v>
      </c>
      <c r="E350">
        <v>1</v>
      </c>
      <c r="G350">
        <v>19949.900000000001</v>
      </c>
      <c r="I350" t="s">
        <v>62</v>
      </c>
      <c r="L350" t="s">
        <v>183</v>
      </c>
      <c r="M350">
        <v>9.6199999999999992</v>
      </c>
      <c r="N350">
        <v>47.87</v>
      </c>
      <c r="O350">
        <v>9.25</v>
      </c>
      <c r="P350" s="3">
        <f t="shared" si="30"/>
        <v>0.96153846153846156</v>
      </c>
      <c r="Q350">
        <v>38.94</v>
      </c>
      <c r="R350" s="3">
        <f t="shared" si="31"/>
        <v>0.81345310215166078</v>
      </c>
      <c r="S350">
        <v>360</v>
      </c>
      <c r="T350">
        <v>9.6029999999999998</v>
      </c>
      <c r="U350">
        <v>47.34</v>
      </c>
      <c r="V350">
        <v>9.1929999999999996</v>
      </c>
      <c r="W350" s="3">
        <f t="shared" si="32"/>
        <v>0.95730500885140057</v>
      </c>
      <c r="X350">
        <v>38.96</v>
      </c>
      <c r="Y350" s="3">
        <f t="shared" si="33"/>
        <v>0.82298267849598639</v>
      </c>
      <c r="Z350">
        <v>358.2</v>
      </c>
      <c r="AA350">
        <v>78.8</v>
      </c>
      <c r="AB350">
        <v>25.1</v>
      </c>
      <c r="AC350" t="s">
        <v>64</v>
      </c>
      <c r="AE350" t="s">
        <v>65</v>
      </c>
      <c r="AF350" t="s">
        <v>66</v>
      </c>
      <c r="AG350" s="2">
        <v>44107</v>
      </c>
      <c r="AH350" s="1">
        <v>0.58347222222222217</v>
      </c>
      <c r="AI350" t="s">
        <v>68</v>
      </c>
      <c r="AJ350" t="s">
        <v>69</v>
      </c>
      <c r="AO350">
        <v>7.6980000000000004</v>
      </c>
      <c r="AP350">
        <v>49.497999999999998</v>
      </c>
      <c r="AQ350">
        <v>12.8</v>
      </c>
      <c r="AR350">
        <v>1.925</v>
      </c>
      <c r="AS350">
        <v>44.881999999999998</v>
      </c>
      <c r="AT350">
        <v>51.2</v>
      </c>
      <c r="AY350">
        <v>2.69</v>
      </c>
      <c r="AZ350" s="2">
        <v>44138</v>
      </c>
      <c r="BB350" s="2">
        <v>44138</v>
      </c>
      <c r="BD350" t="s">
        <v>68</v>
      </c>
      <c r="BE350" t="s">
        <v>1541</v>
      </c>
      <c r="BF350" t="s">
        <v>1542</v>
      </c>
      <c r="BG350" t="s">
        <v>1543</v>
      </c>
      <c r="BH350">
        <v>0</v>
      </c>
      <c r="BI350">
        <v>0</v>
      </c>
      <c r="BJ350">
        <v>1</v>
      </c>
      <c r="BK350" t="s">
        <v>1544</v>
      </c>
      <c r="BL350">
        <v>8.8620000000000001</v>
      </c>
      <c r="BM350">
        <v>8.8620000000000001</v>
      </c>
      <c r="BN350" s="2">
        <v>44107</v>
      </c>
      <c r="BO350" s="1">
        <v>0.58347222222222217</v>
      </c>
      <c r="BP350" s="3">
        <f t="shared" si="34"/>
        <v>0.99559720920545658</v>
      </c>
      <c r="BQ350" s="3">
        <f t="shared" si="35"/>
        <v>1.0117149671187178</v>
      </c>
    </row>
    <row r="351" spans="1:69" hidden="1" x14ac:dyDescent="0.35">
      <c r="A351">
        <v>349</v>
      </c>
      <c r="B351">
        <v>4535</v>
      </c>
      <c r="D351">
        <v>12</v>
      </c>
      <c r="E351">
        <v>1</v>
      </c>
      <c r="G351">
        <v>19949.900000000001</v>
      </c>
      <c r="I351" t="s">
        <v>62</v>
      </c>
      <c r="L351" t="s">
        <v>183</v>
      </c>
      <c r="M351">
        <v>9.6199999999999992</v>
      </c>
      <c r="N351">
        <v>47.87</v>
      </c>
      <c r="O351">
        <v>9.25</v>
      </c>
      <c r="P351" s="3">
        <f t="shared" si="30"/>
        <v>0.96153846153846156</v>
      </c>
      <c r="Q351">
        <v>38.94</v>
      </c>
      <c r="R351" s="3">
        <f t="shared" si="31"/>
        <v>0.81345310215166078</v>
      </c>
      <c r="S351">
        <v>360</v>
      </c>
      <c r="T351">
        <v>9.6140000000000008</v>
      </c>
      <c r="U351">
        <v>47.37</v>
      </c>
      <c r="V351">
        <v>9.202</v>
      </c>
      <c r="W351" s="3">
        <f t="shared" si="32"/>
        <v>0.95714582899937584</v>
      </c>
      <c r="X351">
        <v>38.96</v>
      </c>
      <c r="Y351" s="3">
        <f t="shared" si="33"/>
        <v>0.82246147350643872</v>
      </c>
      <c r="Z351">
        <v>358.5</v>
      </c>
      <c r="AA351">
        <v>78.7</v>
      </c>
      <c r="AB351">
        <v>25.2</v>
      </c>
      <c r="AC351" t="s">
        <v>64</v>
      </c>
      <c r="AE351" t="s">
        <v>65</v>
      </c>
      <c r="AF351" t="s">
        <v>66</v>
      </c>
      <c r="AG351" s="2">
        <v>44107</v>
      </c>
      <c r="AH351" s="1">
        <v>0.62260416666666663</v>
      </c>
      <c r="AI351" t="s">
        <v>68</v>
      </c>
      <c r="AJ351" t="s">
        <v>69</v>
      </c>
      <c r="AO351">
        <v>7.6980000000000004</v>
      </c>
      <c r="AP351">
        <v>49.686</v>
      </c>
      <c r="AQ351">
        <v>12.8</v>
      </c>
      <c r="AR351">
        <v>1.925</v>
      </c>
      <c r="AS351">
        <v>45.07</v>
      </c>
      <c r="AT351">
        <v>51.2</v>
      </c>
      <c r="AY351">
        <v>2.69</v>
      </c>
      <c r="AZ351" s="2">
        <v>44138</v>
      </c>
      <c r="BB351" s="2">
        <v>44138</v>
      </c>
      <c r="BD351" t="s">
        <v>68</v>
      </c>
      <c r="BE351" t="s">
        <v>1545</v>
      </c>
      <c r="BF351" t="s">
        <v>1546</v>
      </c>
      <c r="BG351" t="s">
        <v>1547</v>
      </c>
      <c r="BH351">
        <v>0</v>
      </c>
      <c r="BI351">
        <v>0</v>
      </c>
      <c r="BJ351">
        <v>1</v>
      </c>
      <c r="BK351" t="s">
        <v>1548</v>
      </c>
      <c r="BL351">
        <v>8.8620000000000001</v>
      </c>
      <c r="BM351">
        <v>8.8620000000000001</v>
      </c>
      <c r="BN351" s="2">
        <v>44107</v>
      </c>
      <c r="BO351" s="1">
        <v>0.62260416666666663</v>
      </c>
      <c r="BP351" s="3">
        <f t="shared" si="34"/>
        <v>0.99543166215935086</v>
      </c>
      <c r="BQ351" s="3">
        <f t="shared" si="35"/>
        <v>1.0110742356639244</v>
      </c>
    </row>
    <row r="352" spans="1:69" hidden="1" x14ac:dyDescent="0.35">
      <c r="A352">
        <v>350</v>
      </c>
      <c r="B352">
        <v>4536</v>
      </c>
      <c r="D352">
        <v>12</v>
      </c>
      <c r="E352">
        <v>1</v>
      </c>
      <c r="G352">
        <v>19949.900000000001</v>
      </c>
      <c r="I352" t="s">
        <v>62</v>
      </c>
      <c r="L352" t="s">
        <v>183</v>
      </c>
      <c r="M352">
        <v>9.6199999999999992</v>
      </c>
      <c r="N352">
        <v>47.87</v>
      </c>
      <c r="O352">
        <v>9.25</v>
      </c>
      <c r="P352" s="3">
        <f t="shared" si="30"/>
        <v>0.96153846153846156</v>
      </c>
      <c r="Q352">
        <v>38.94</v>
      </c>
      <c r="R352" s="3">
        <f t="shared" si="31"/>
        <v>0.81345310215166078</v>
      </c>
      <c r="S352">
        <v>360</v>
      </c>
      <c r="T352">
        <v>9.6229999999999993</v>
      </c>
      <c r="U352">
        <v>47.39</v>
      </c>
      <c r="V352">
        <v>9.1999999999999993</v>
      </c>
      <c r="W352" s="3">
        <f t="shared" si="32"/>
        <v>0.9560428140912397</v>
      </c>
      <c r="X352">
        <v>38.89</v>
      </c>
      <c r="Y352" s="3">
        <f t="shared" si="33"/>
        <v>0.82063726524583247</v>
      </c>
      <c r="Z352">
        <v>357.8</v>
      </c>
      <c r="AA352">
        <v>78.5</v>
      </c>
      <c r="AB352">
        <v>25.3</v>
      </c>
      <c r="AC352" t="s">
        <v>64</v>
      </c>
      <c r="AE352" t="s">
        <v>65</v>
      </c>
      <c r="AF352" t="s">
        <v>66</v>
      </c>
      <c r="AG352" s="2">
        <v>44107</v>
      </c>
      <c r="AH352" s="1">
        <v>0.6240162037037037</v>
      </c>
      <c r="AI352" t="s">
        <v>68</v>
      </c>
      <c r="AJ352" t="s">
        <v>69</v>
      </c>
      <c r="AO352">
        <v>7.6980000000000004</v>
      </c>
      <c r="AP352">
        <v>49.798999999999999</v>
      </c>
      <c r="AQ352">
        <v>12.8</v>
      </c>
      <c r="AR352">
        <v>1.925</v>
      </c>
      <c r="AS352">
        <v>45.182000000000002</v>
      </c>
      <c r="AT352">
        <v>51.2</v>
      </c>
      <c r="AY352">
        <v>2.69</v>
      </c>
      <c r="AZ352" s="2">
        <v>44138</v>
      </c>
      <c r="BB352" s="2">
        <v>44138</v>
      </c>
      <c r="BD352" t="s">
        <v>68</v>
      </c>
      <c r="BE352" t="s">
        <v>1549</v>
      </c>
      <c r="BF352" t="s">
        <v>1550</v>
      </c>
      <c r="BG352" t="s">
        <v>1551</v>
      </c>
      <c r="BH352">
        <v>0</v>
      </c>
      <c r="BI352">
        <v>0</v>
      </c>
      <c r="BJ352">
        <v>1</v>
      </c>
      <c r="BK352" t="s">
        <v>1552</v>
      </c>
      <c r="BL352">
        <v>8.8620000000000001</v>
      </c>
      <c r="BM352">
        <v>8.8620000000000001</v>
      </c>
      <c r="BN352" s="2">
        <v>44107</v>
      </c>
      <c r="BO352" s="1">
        <v>0.6240162037037037</v>
      </c>
      <c r="BP352" s="3">
        <f t="shared" si="34"/>
        <v>0.99428452665488931</v>
      </c>
      <c r="BQ352" s="3">
        <f t="shared" si="35"/>
        <v>1.0088316868854135</v>
      </c>
    </row>
    <row r="353" spans="1:69" hidden="1" x14ac:dyDescent="0.35">
      <c r="A353">
        <v>351</v>
      </c>
      <c r="B353">
        <v>4518</v>
      </c>
      <c r="D353">
        <v>12</v>
      </c>
      <c r="E353">
        <v>1</v>
      </c>
      <c r="G353">
        <v>19949.900000000001</v>
      </c>
      <c r="I353" t="s">
        <v>62</v>
      </c>
      <c r="L353" t="s">
        <v>183</v>
      </c>
      <c r="M353">
        <v>9.6199999999999992</v>
      </c>
      <c r="N353">
        <v>47.87</v>
      </c>
      <c r="O353">
        <v>9.25</v>
      </c>
      <c r="P353" s="3">
        <f t="shared" si="30"/>
        <v>0.96153846153846156</v>
      </c>
      <c r="Q353">
        <v>38.94</v>
      </c>
      <c r="R353" s="3">
        <f t="shared" si="31"/>
        <v>0.81345310215166078</v>
      </c>
      <c r="S353">
        <v>360</v>
      </c>
      <c r="T353">
        <v>9.6140000000000008</v>
      </c>
      <c r="U353">
        <v>47.42</v>
      </c>
      <c r="V353">
        <v>9.2050000000000001</v>
      </c>
      <c r="W353" s="3">
        <f t="shared" si="32"/>
        <v>0.9574578739338464</v>
      </c>
      <c r="X353">
        <v>38.99</v>
      </c>
      <c r="Y353" s="3">
        <f t="shared" si="33"/>
        <v>0.82222690847743574</v>
      </c>
      <c r="Z353">
        <v>358.9</v>
      </c>
      <c r="AA353">
        <v>78.7</v>
      </c>
      <c r="AB353">
        <v>25.2</v>
      </c>
      <c r="AC353" t="s">
        <v>64</v>
      </c>
      <c r="AE353" t="s">
        <v>65</v>
      </c>
      <c r="AF353" t="s">
        <v>66</v>
      </c>
      <c r="AG353" s="2">
        <v>44107</v>
      </c>
      <c r="AH353" s="1">
        <v>0.58932870370370372</v>
      </c>
      <c r="AI353" t="s">
        <v>68</v>
      </c>
      <c r="AJ353" t="s">
        <v>69</v>
      </c>
      <c r="AO353">
        <v>7.6980000000000004</v>
      </c>
      <c r="AP353">
        <v>49.798999999999999</v>
      </c>
      <c r="AQ353">
        <v>12.8</v>
      </c>
      <c r="AR353">
        <v>1.925</v>
      </c>
      <c r="AS353">
        <v>45.07</v>
      </c>
      <c r="AT353">
        <v>51.2</v>
      </c>
      <c r="AY353">
        <v>2.69</v>
      </c>
      <c r="AZ353" s="2">
        <v>44138</v>
      </c>
      <c r="BB353" s="2">
        <v>44138</v>
      </c>
      <c r="BD353" t="s">
        <v>68</v>
      </c>
      <c r="BE353" t="s">
        <v>1553</v>
      </c>
      <c r="BF353" t="s">
        <v>1554</v>
      </c>
      <c r="BG353" t="s">
        <v>1555</v>
      </c>
      <c r="BH353">
        <v>0</v>
      </c>
      <c r="BI353">
        <v>0</v>
      </c>
      <c r="BJ353">
        <v>1</v>
      </c>
      <c r="BK353" t="s">
        <v>1556</v>
      </c>
      <c r="BL353">
        <v>8.8620000000000001</v>
      </c>
      <c r="BM353">
        <v>8.8620000000000001</v>
      </c>
      <c r="BN353" s="2">
        <v>44107</v>
      </c>
      <c r="BO353" s="1">
        <v>0.58932870370370372</v>
      </c>
      <c r="BP353" s="3">
        <f t="shared" si="34"/>
        <v>0.99575618889120021</v>
      </c>
      <c r="BQ353" s="3">
        <f t="shared" si="35"/>
        <v>1.0107858785006381</v>
      </c>
    </row>
    <row r="354" spans="1:69" hidden="1" x14ac:dyDescent="0.35">
      <c r="A354">
        <v>352</v>
      </c>
      <c r="B354">
        <v>4557</v>
      </c>
      <c r="D354">
        <v>12</v>
      </c>
      <c r="E354">
        <v>1</v>
      </c>
      <c r="G354">
        <v>19949.900000000001</v>
      </c>
      <c r="I354" t="s">
        <v>62</v>
      </c>
      <c r="L354" t="s">
        <v>183</v>
      </c>
      <c r="M354">
        <v>9.6199999999999992</v>
      </c>
      <c r="N354">
        <v>47.87</v>
      </c>
      <c r="O354">
        <v>9.25</v>
      </c>
      <c r="P354" s="3">
        <f t="shared" si="30"/>
        <v>0.96153846153846156</v>
      </c>
      <c r="Q354">
        <v>38.94</v>
      </c>
      <c r="R354" s="3">
        <f t="shared" si="31"/>
        <v>0.81345310215166078</v>
      </c>
      <c r="S354">
        <v>360</v>
      </c>
      <c r="T354">
        <v>9.5570000000000004</v>
      </c>
      <c r="U354">
        <v>47.42</v>
      </c>
      <c r="V354">
        <v>9.1609999999999996</v>
      </c>
      <c r="W354" s="3">
        <f t="shared" si="32"/>
        <v>0.95856440305535207</v>
      </c>
      <c r="X354">
        <v>39.07</v>
      </c>
      <c r="Y354" s="3">
        <f t="shared" si="33"/>
        <v>0.82391396035428088</v>
      </c>
      <c r="Z354">
        <v>357.9</v>
      </c>
      <c r="AA354">
        <v>79</v>
      </c>
      <c r="AB354">
        <v>25</v>
      </c>
      <c r="AC354" t="s">
        <v>64</v>
      </c>
      <c r="AE354" t="s">
        <v>65</v>
      </c>
      <c r="AF354" t="s">
        <v>66</v>
      </c>
      <c r="AG354" t="s">
        <v>1374</v>
      </c>
      <c r="AH354" s="1">
        <v>0.40098379629629627</v>
      </c>
      <c r="AI354" t="s">
        <v>68</v>
      </c>
      <c r="AJ354" t="s">
        <v>69</v>
      </c>
      <c r="AO354">
        <v>7.6980000000000004</v>
      </c>
      <c r="AP354">
        <v>49.423000000000002</v>
      </c>
      <c r="AQ354">
        <v>12.8</v>
      </c>
      <c r="AR354">
        <v>1.925</v>
      </c>
      <c r="AS354">
        <v>44.918999999999997</v>
      </c>
      <c r="AT354">
        <v>51.2</v>
      </c>
      <c r="AY354">
        <v>2.69</v>
      </c>
      <c r="AZ354" t="s">
        <v>1375</v>
      </c>
      <c r="BB354" t="s">
        <v>1375</v>
      </c>
      <c r="BD354" t="s">
        <v>68</v>
      </c>
      <c r="BE354" t="s">
        <v>1557</v>
      </c>
      <c r="BF354" t="s">
        <v>1558</v>
      </c>
      <c r="BG354" t="s">
        <v>1559</v>
      </c>
      <c r="BH354">
        <v>0</v>
      </c>
      <c r="BI354">
        <v>0</v>
      </c>
      <c r="BJ354">
        <v>1</v>
      </c>
      <c r="BK354" t="s">
        <v>1560</v>
      </c>
      <c r="BL354">
        <v>8.8620000000000001</v>
      </c>
      <c r="BM354">
        <v>8.8620000000000001</v>
      </c>
      <c r="BN354" t="s">
        <v>1374</v>
      </c>
      <c r="BO354" s="1">
        <v>0.40098379629629627</v>
      </c>
      <c r="BP354" s="3">
        <f t="shared" si="34"/>
        <v>0.9969069791775661</v>
      </c>
      <c r="BQ354" s="3">
        <f t="shared" si="35"/>
        <v>1.012859817210052</v>
      </c>
    </row>
    <row r="355" spans="1:69" hidden="1" x14ac:dyDescent="0.35">
      <c r="A355">
        <v>353</v>
      </c>
      <c r="B355">
        <v>4519</v>
      </c>
      <c r="D355">
        <v>12</v>
      </c>
      <c r="E355">
        <v>1</v>
      </c>
      <c r="G355">
        <v>19949.900000000001</v>
      </c>
      <c r="I355" t="s">
        <v>62</v>
      </c>
      <c r="L355" t="s">
        <v>183</v>
      </c>
      <c r="M355">
        <v>9.6199999999999992</v>
      </c>
      <c r="N355">
        <v>47.87</v>
      </c>
      <c r="O355">
        <v>9.25</v>
      </c>
      <c r="P355" s="3">
        <f t="shared" si="30"/>
        <v>0.96153846153846156</v>
      </c>
      <c r="Q355">
        <v>38.94</v>
      </c>
      <c r="R355" s="3">
        <f t="shared" si="31"/>
        <v>0.81345310215166078</v>
      </c>
      <c r="S355">
        <v>360</v>
      </c>
      <c r="T355">
        <v>9.5939999999999994</v>
      </c>
      <c r="U355">
        <v>47.39</v>
      </c>
      <c r="V355">
        <v>9.1850000000000005</v>
      </c>
      <c r="W355" s="3">
        <f t="shared" si="32"/>
        <v>0.95736918907650626</v>
      </c>
      <c r="X355">
        <v>39.04</v>
      </c>
      <c r="Y355" s="3">
        <f t="shared" si="33"/>
        <v>0.82380248997678829</v>
      </c>
      <c r="Z355">
        <v>358.6</v>
      </c>
      <c r="AA355">
        <v>78.900000000000006</v>
      </c>
      <c r="AB355">
        <v>24.9</v>
      </c>
      <c r="AC355" t="s">
        <v>64</v>
      </c>
      <c r="AE355" t="s">
        <v>65</v>
      </c>
      <c r="AF355" t="s">
        <v>66</v>
      </c>
      <c r="AG355" s="2">
        <v>44107</v>
      </c>
      <c r="AH355" s="1">
        <v>0.59062499999999996</v>
      </c>
      <c r="AI355" t="s">
        <v>68</v>
      </c>
      <c r="AJ355" t="s">
        <v>69</v>
      </c>
      <c r="AO355">
        <v>7.6980000000000004</v>
      </c>
      <c r="AP355">
        <v>49.610999999999997</v>
      </c>
      <c r="AQ355">
        <v>12.8</v>
      </c>
      <c r="AR355">
        <v>1.925</v>
      </c>
      <c r="AS355">
        <v>44.994999999999997</v>
      </c>
      <c r="AT355">
        <v>51.2</v>
      </c>
      <c r="AY355">
        <v>2.69</v>
      </c>
      <c r="AZ355" s="2">
        <v>44138</v>
      </c>
      <c r="BB355" s="2">
        <v>44138</v>
      </c>
      <c r="BD355" t="s">
        <v>68</v>
      </c>
      <c r="BE355" t="s">
        <v>1561</v>
      </c>
      <c r="BF355" t="s">
        <v>1562</v>
      </c>
      <c r="BG355" t="s">
        <v>1563</v>
      </c>
      <c r="BH355">
        <v>0</v>
      </c>
      <c r="BI355">
        <v>1</v>
      </c>
      <c r="BJ355">
        <v>2</v>
      </c>
      <c r="BK355" t="s">
        <v>1564</v>
      </c>
      <c r="BL355">
        <v>8.8620000000000001</v>
      </c>
      <c r="BM355">
        <v>8.8620000000000001</v>
      </c>
      <c r="BN355" s="2">
        <v>44107</v>
      </c>
      <c r="BO355" s="1">
        <v>0.59062499999999996</v>
      </c>
      <c r="BP355" s="3">
        <f t="shared" si="34"/>
        <v>0.99566395663956653</v>
      </c>
      <c r="BQ355" s="3">
        <f t="shared" si="35"/>
        <v>1.0127227836463497</v>
      </c>
    </row>
    <row r="356" spans="1:69" hidden="1" x14ac:dyDescent="0.35">
      <c r="A356">
        <v>354</v>
      </c>
      <c r="B356">
        <v>4519</v>
      </c>
      <c r="D356">
        <v>12</v>
      </c>
      <c r="E356">
        <v>1</v>
      </c>
      <c r="G356">
        <v>19949.900000000001</v>
      </c>
      <c r="I356" t="s">
        <v>62</v>
      </c>
      <c r="L356" t="s">
        <v>1369</v>
      </c>
      <c r="M356">
        <v>9.6199999999999992</v>
      </c>
      <c r="N356">
        <v>47.87</v>
      </c>
      <c r="O356">
        <v>9.25</v>
      </c>
      <c r="P356" s="3">
        <f t="shared" si="30"/>
        <v>0.96153846153846156</v>
      </c>
      <c r="Q356">
        <v>38.94</v>
      </c>
      <c r="R356" s="3">
        <f t="shared" si="31"/>
        <v>0.81345310215166078</v>
      </c>
      <c r="S356">
        <v>360</v>
      </c>
      <c r="T356">
        <v>9.51</v>
      </c>
      <c r="U356">
        <v>47</v>
      </c>
      <c r="V356">
        <v>9.1110000000000007</v>
      </c>
      <c r="W356" s="3">
        <f t="shared" si="32"/>
        <v>0.95804416403785497</v>
      </c>
      <c r="X356">
        <v>38.520000000000003</v>
      </c>
      <c r="Y356" s="3">
        <f t="shared" si="33"/>
        <v>0.81957446808510648</v>
      </c>
      <c r="Z356">
        <v>350.9</v>
      </c>
      <c r="AA356">
        <v>78.5</v>
      </c>
      <c r="AB356">
        <v>24.9</v>
      </c>
      <c r="AC356" t="s">
        <v>64</v>
      </c>
      <c r="AE356" t="s">
        <v>65</v>
      </c>
      <c r="AF356" t="s">
        <v>66</v>
      </c>
      <c r="AG356" s="2">
        <v>44229</v>
      </c>
      <c r="AH356" s="1">
        <v>0.41554398148148147</v>
      </c>
      <c r="AI356" t="s">
        <v>68</v>
      </c>
      <c r="AJ356" t="s">
        <v>69</v>
      </c>
      <c r="AR356">
        <v>7.6379999999999999</v>
      </c>
      <c r="AS356">
        <v>48.447000000000003</v>
      </c>
      <c r="AT356">
        <v>12.8</v>
      </c>
      <c r="AY356">
        <v>2.76</v>
      </c>
      <c r="AZ356" s="2">
        <v>44410</v>
      </c>
      <c r="BB356" s="2">
        <v>44410</v>
      </c>
      <c r="BD356" t="s">
        <v>68</v>
      </c>
      <c r="BF356" t="s">
        <v>1565</v>
      </c>
      <c r="BG356" t="s">
        <v>1566</v>
      </c>
      <c r="BH356">
        <v>0</v>
      </c>
      <c r="BI356">
        <v>0</v>
      </c>
      <c r="BJ356">
        <v>2</v>
      </c>
      <c r="BK356" t="s">
        <v>1567</v>
      </c>
      <c r="BL356">
        <v>8.8620000000000001</v>
      </c>
      <c r="BM356">
        <v>8.8620000000000001</v>
      </c>
      <c r="BN356" s="2">
        <v>44107</v>
      </c>
      <c r="BO356" s="1">
        <v>0.59062499999999996</v>
      </c>
      <c r="BP356" s="3">
        <f t="shared" si="34"/>
        <v>0.99636593059936918</v>
      </c>
      <c r="BQ356" s="3">
        <f t="shared" si="35"/>
        <v>1.0075251614595286</v>
      </c>
    </row>
    <row r="357" spans="1:69" hidden="1" x14ac:dyDescent="0.35">
      <c r="A357">
        <v>355</v>
      </c>
      <c r="B357">
        <v>4517</v>
      </c>
      <c r="D357">
        <v>12</v>
      </c>
      <c r="E357">
        <v>1</v>
      </c>
      <c r="G357">
        <v>19949.900000000001</v>
      </c>
      <c r="I357" t="s">
        <v>62</v>
      </c>
      <c r="L357" t="s">
        <v>183</v>
      </c>
      <c r="M357">
        <v>9.6199999999999992</v>
      </c>
      <c r="N357">
        <v>47.87</v>
      </c>
      <c r="O357">
        <v>9.25</v>
      </c>
      <c r="P357" s="3">
        <f t="shared" si="30"/>
        <v>0.96153846153846156</v>
      </c>
      <c r="Q357">
        <v>38.94</v>
      </c>
      <c r="R357" s="3">
        <f t="shared" si="31"/>
        <v>0.81345310215166078</v>
      </c>
      <c r="S357">
        <v>360</v>
      </c>
      <c r="T357">
        <v>9.625</v>
      </c>
      <c r="U357">
        <v>47.36</v>
      </c>
      <c r="V357">
        <v>9.2059999999999995</v>
      </c>
      <c r="W357" s="3">
        <f t="shared" si="32"/>
        <v>0.95646753246753247</v>
      </c>
      <c r="X357">
        <v>38.96</v>
      </c>
      <c r="Y357" s="3">
        <f t="shared" si="33"/>
        <v>0.8226351351351352</v>
      </c>
      <c r="Z357">
        <v>358.7</v>
      </c>
      <c r="AA357">
        <v>78.7</v>
      </c>
      <c r="AB357">
        <v>25.3</v>
      </c>
      <c r="AC357" t="s">
        <v>64</v>
      </c>
      <c r="AE357" t="s">
        <v>65</v>
      </c>
      <c r="AF357" t="s">
        <v>66</v>
      </c>
      <c r="AG357" s="2">
        <v>44107</v>
      </c>
      <c r="AH357" s="1">
        <v>0.58781249999999996</v>
      </c>
      <c r="AI357" t="s">
        <v>68</v>
      </c>
      <c r="AJ357" t="s">
        <v>69</v>
      </c>
      <c r="AO357">
        <v>7.6980000000000004</v>
      </c>
      <c r="AP357">
        <v>49.536000000000001</v>
      </c>
      <c r="AQ357">
        <v>12.8</v>
      </c>
      <c r="AR357">
        <v>1.925</v>
      </c>
      <c r="AS357">
        <v>45.031999999999996</v>
      </c>
      <c r="AT357">
        <v>51.2</v>
      </c>
      <c r="AY357">
        <v>2.69</v>
      </c>
      <c r="AZ357" s="2">
        <v>44138</v>
      </c>
      <c r="BB357" s="2">
        <v>44138</v>
      </c>
      <c r="BD357" t="s">
        <v>68</v>
      </c>
      <c r="BE357" t="s">
        <v>1568</v>
      </c>
      <c r="BF357" t="s">
        <v>1569</v>
      </c>
      <c r="BG357" t="s">
        <v>1570</v>
      </c>
      <c r="BH357">
        <v>0</v>
      </c>
      <c r="BI357">
        <v>0</v>
      </c>
      <c r="BJ357">
        <v>1</v>
      </c>
      <c r="BK357" t="s">
        <v>1571</v>
      </c>
      <c r="BL357">
        <v>8.8620000000000001</v>
      </c>
      <c r="BM357">
        <v>8.8620000000000001</v>
      </c>
      <c r="BN357" s="2">
        <v>44107</v>
      </c>
      <c r="BO357" s="1">
        <v>0.58781249999999996</v>
      </c>
      <c r="BP357" s="3">
        <f t="shared" si="34"/>
        <v>0.9947262337662337</v>
      </c>
      <c r="BQ357" s="3">
        <f t="shared" si="35"/>
        <v>1.0112877226224684</v>
      </c>
    </row>
    <row r="358" spans="1:69" hidden="1" x14ac:dyDescent="0.35">
      <c r="A358">
        <v>356</v>
      </c>
      <c r="B358">
        <v>4524</v>
      </c>
      <c r="D358">
        <v>12</v>
      </c>
      <c r="E358">
        <v>1</v>
      </c>
      <c r="G358">
        <v>19949.900000000001</v>
      </c>
      <c r="I358" t="s">
        <v>62</v>
      </c>
      <c r="L358" t="s">
        <v>183</v>
      </c>
      <c r="M358">
        <v>9.6199999999999992</v>
      </c>
      <c r="N358">
        <v>47.87</v>
      </c>
      <c r="O358">
        <v>9.25</v>
      </c>
      <c r="P358" s="3">
        <f t="shared" si="30"/>
        <v>0.96153846153846156</v>
      </c>
      <c r="Q358">
        <v>38.94</v>
      </c>
      <c r="R358" s="3">
        <f t="shared" si="31"/>
        <v>0.81345310215166078</v>
      </c>
      <c r="S358">
        <v>360</v>
      </c>
      <c r="T358">
        <v>9.6199999999999992</v>
      </c>
      <c r="U358">
        <v>47.46</v>
      </c>
      <c r="V358">
        <v>9.2080000000000002</v>
      </c>
      <c r="W358" s="3">
        <f t="shared" si="32"/>
        <v>0.95717255717255723</v>
      </c>
      <c r="X358">
        <v>39.090000000000003</v>
      </c>
      <c r="Y358" s="3">
        <f t="shared" si="33"/>
        <v>0.82364096080910243</v>
      </c>
      <c r="Z358">
        <v>360</v>
      </c>
      <c r="AA358">
        <v>78.8</v>
      </c>
      <c r="AB358">
        <v>25.2</v>
      </c>
      <c r="AC358" t="s">
        <v>64</v>
      </c>
      <c r="AE358" t="s">
        <v>65</v>
      </c>
      <c r="AF358" t="s">
        <v>66</v>
      </c>
      <c r="AG358" s="2">
        <v>44107</v>
      </c>
      <c r="AH358" s="1">
        <v>0.60305555555555557</v>
      </c>
      <c r="AI358" t="s">
        <v>68</v>
      </c>
      <c r="AJ358" t="s">
        <v>69</v>
      </c>
      <c r="AO358">
        <v>7.6980000000000004</v>
      </c>
      <c r="AP358">
        <v>49.497999999999998</v>
      </c>
      <c r="AQ358">
        <v>12.8</v>
      </c>
      <c r="AR358">
        <v>1.925</v>
      </c>
      <c r="AS358">
        <v>44.994999999999997</v>
      </c>
      <c r="AT358">
        <v>51.2</v>
      </c>
      <c r="AY358">
        <v>2.69</v>
      </c>
      <c r="AZ358" s="2">
        <v>44138</v>
      </c>
      <c r="BB358" s="2">
        <v>44138</v>
      </c>
      <c r="BD358" t="s">
        <v>68</v>
      </c>
      <c r="BE358" t="s">
        <v>1572</v>
      </c>
      <c r="BF358" t="s">
        <v>1573</v>
      </c>
      <c r="BG358" t="s">
        <v>1574</v>
      </c>
      <c r="BH358">
        <v>0</v>
      </c>
      <c r="BI358">
        <v>1</v>
      </c>
      <c r="BJ358">
        <v>2</v>
      </c>
      <c r="BK358" t="s">
        <v>1575</v>
      </c>
      <c r="BL358">
        <v>8.8620000000000001</v>
      </c>
      <c r="BM358">
        <v>8.8620000000000001</v>
      </c>
      <c r="BN358" s="2">
        <v>44107</v>
      </c>
      <c r="BO358" s="1">
        <v>0.60305555555555557</v>
      </c>
      <c r="BP358" s="3">
        <f t="shared" si="34"/>
        <v>0.99545945945945946</v>
      </c>
      <c r="BQ358" s="3">
        <f t="shared" si="35"/>
        <v>1.012524211451765</v>
      </c>
    </row>
    <row r="359" spans="1:69" hidden="1" x14ac:dyDescent="0.35">
      <c r="A359">
        <v>357</v>
      </c>
      <c r="B359">
        <v>4524</v>
      </c>
      <c r="D359">
        <v>12</v>
      </c>
      <c r="E359">
        <v>1</v>
      </c>
      <c r="G359">
        <v>19949.900000000001</v>
      </c>
      <c r="I359" t="s">
        <v>62</v>
      </c>
      <c r="L359" t="s">
        <v>1369</v>
      </c>
      <c r="M359">
        <v>9.6199999999999992</v>
      </c>
      <c r="N359">
        <v>47.87</v>
      </c>
      <c r="O359">
        <v>9.25</v>
      </c>
      <c r="P359" s="3">
        <f t="shared" si="30"/>
        <v>0.96153846153846156</v>
      </c>
      <c r="Q359">
        <v>38.94</v>
      </c>
      <c r="R359" s="3">
        <f t="shared" si="31"/>
        <v>0.81345310215166078</v>
      </c>
      <c r="S359">
        <v>360</v>
      </c>
      <c r="T359">
        <v>9.5380000000000003</v>
      </c>
      <c r="U359">
        <v>47.1</v>
      </c>
      <c r="V359">
        <v>9.1329999999999991</v>
      </c>
      <c r="W359" s="3">
        <f t="shared" si="32"/>
        <v>0.95753826798070862</v>
      </c>
      <c r="X359">
        <v>38.549999999999997</v>
      </c>
      <c r="Y359" s="3">
        <f t="shared" si="33"/>
        <v>0.81847133757961776</v>
      </c>
      <c r="Z359">
        <v>352.1</v>
      </c>
      <c r="AA359">
        <v>78.400000000000006</v>
      </c>
      <c r="AB359">
        <v>25.1</v>
      </c>
      <c r="AC359" t="s">
        <v>64</v>
      </c>
      <c r="AE359" t="s">
        <v>65</v>
      </c>
      <c r="AF359" t="s">
        <v>66</v>
      </c>
      <c r="AG359" s="2">
        <v>44229</v>
      </c>
      <c r="AH359" s="1">
        <v>0.41767361111111112</v>
      </c>
      <c r="AI359" t="s">
        <v>68</v>
      </c>
      <c r="AJ359" t="s">
        <v>69</v>
      </c>
      <c r="AO359">
        <v>7.633</v>
      </c>
      <c r="AP359">
        <v>48.523000000000003</v>
      </c>
      <c r="AQ359">
        <v>12.8</v>
      </c>
      <c r="AR359">
        <v>1.91</v>
      </c>
      <c r="AS359">
        <v>43.981000000000002</v>
      </c>
      <c r="AT359">
        <v>51.2</v>
      </c>
      <c r="AY359">
        <v>2.76</v>
      </c>
      <c r="AZ359" s="2">
        <v>44410</v>
      </c>
      <c r="BB359" s="2">
        <v>44410</v>
      </c>
      <c r="BD359" t="s">
        <v>68</v>
      </c>
      <c r="BE359" t="s">
        <v>1576</v>
      </c>
      <c r="BF359" t="s">
        <v>1577</v>
      </c>
      <c r="BG359" t="s">
        <v>1578</v>
      </c>
      <c r="BH359">
        <v>0</v>
      </c>
      <c r="BI359">
        <v>0</v>
      </c>
      <c r="BJ359">
        <v>2</v>
      </c>
      <c r="BK359" t="s">
        <v>1579</v>
      </c>
      <c r="BL359">
        <v>8.8620000000000001</v>
      </c>
      <c r="BM359">
        <v>8.8620000000000001</v>
      </c>
      <c r="BN359" s="2">
        <v>44107</v>
      </c>
      <c r="BO359" s="1">
        <v>0.60305555555555557</v>
      </c>
      <c r="BP359" s="3">
        <f t="shared" si="34"/>
        <v>0.995839798699937</v>
      </c>
      <c r="BQ359" s="3">
        <f t="shared" si="35"/>
        <v>1.0061690531570699</v>
      </c>
    </row>
    <row r="360" spans="1:69" hidden="1" x14ac:dyDescent="0.35">
      <c r="A360">
        <v>358</v>
      </c>
      <c r="B360">
        <v>4530</v>
      </c>
      <c r="D360">
        <v>12</v>
      </c>
      <c r="E360">
        <v>1</v>
      </c>
      <c r="G360">
        <v>19949.900000000001</v>
      </c>
      <c r="I360" t="s">
        <v>62</v>
      </c>
      <c r="L360" t="s">
        <v>183</v>
      </c>
      <c r="M360">
        <v>9.6199999999999992</v>
      </c>
      <c r="N360">
        <v>47.87</v>
      </c>
      <c r="O360">
        <v>9.25</v>
      </c>
      <c r="P360" s="3">
        <f t="shared" si="30"/>
        <v>0.96153846153846156</v>
      </c>
      <c r="Q360">
        <v>38.94</v>
      </c>
      <c r="R360" s="3">
        <f t="shared" si="31"/>
        <v>0.81345310215166078</v>
      </c>
      <c r="S360">
        <v>360</v>
      </c>
      <c r="T360">
        <v>9.6229999999999993</v>
      </c>
      <c r="U360">
        <v>47.46</v>
      </c>
      <c r="V360">
        <v>9.2050000000000001</v>
      </c>
      <c r="W360" s="3">
        <f t="shared" si="32"/>
        <v>0.95656240257715897</v>
      </c>
      <c r="X360">
        <v>39</v>
      </c>
      <c r="Y360" s="3">
        <f t="shared" si="33"/>
        <v>0.82174462705436158</v>
      </c>
      <c r="Z360">
        <v>359</v>
      </c>
      <c r="AA360">
        <v>78.599999999999994</v>
      </c>
      <c r="AB360">
        <v>25</v>
      </c>
      <c r="AC360" t="s">
        <v>64</v>
      </c>
      <c r="AE360" t="s">
        <v>65</v>
      </c>
      <c r="AF360" t="s">
        <v>66</v>
      </c>
      <c r="AG360" s="2">
        <v>44107</v>
      </c>
      <c r="AH360" s="1">
        <v>0.61192129629629632</v>
      </c>
      <c r="AI360" t="s">
        <v>68</v>
      </c>
      <c r="AJ360" t="s">
        <v>69</v>
      </c>
      <c r="AO360">
        <v>7.6980000000000004</v>
      </c>
      <c r="AP360">
        <v>49.536000000000001</v>
      </c>
      <c r="AQ360">
        <v>12.8</v>
      </c>
      <c r="AR360">
        <v>1.925</v>
      </c>
      <c r="AS360">
        <v>44.918999999999997</v>
      </c>
      <c r="AT360">
        <v>51.2</v>
      </c>
      <c r="AY360">
        <v>2.69</v>
      </c>
      <c r="AZ360" s="2">
        <v>44138</v>
      </c>
      <c r="BB360" s="2">
        <v>44138</v>
      </c>
      <c r="BD360" t="s">
        <v>68</v>
      </c>
      <c r="BE360" t="s">
        <v>1580</v>
      </c>
      <c r="BF360" t="s">
        <v>1581</v>
      </c>
      <c r="BG360" t="s">
        <v>1582</v>
      </c>
      <c r="BH360">
        <v>0</v>
      </c>
      <c r="BI360">
        <v>0</v>
      </c>
      <c r="BJ360">
        <v>1</v>
      </c>
      <c r="BK360" t="s">
        <v>1583</v>
      </c>
      <c r="BL360">
        <v>8.8620000000000001</v>
      </c>
      <c r="BM360">
        <v>8.8620000000000001</v>
      </c>
      <c r="BN360" s="2">
        <v>44107</v>
      </c>
      <c r="BO360" s="1">
        <v>0.61192129629629632</v>
      </c>
      <c r="BP360" s="3">
        <f t="shared" si="34"/>
        <v>0.99482489868024526</v>
      </c>
      <c r="BQ360" s="3">
        <f t="shared" si="35"/>
        <v>1.0101929968436643</v>
      </c>
    </row>
    <row r="361" spans="1:69" hidden="1" x14ac:dyDescent="0.35">
      <c r="A361">
        <v>359</v>
      </c>
      <c r="B361">
        <v>4521</v>
      </c>
      <c r="D361">
        <v>12</v>
      </c>
      <c r="E361">
        <v>1</v>
      </c>
      <c r="G361">
        <v>19949.900000000001</v>
      </c>
      <c r="I361" t="s">
        <v>62</v>
      </c>
      <c r="L361" t="s">
        <v>183</v>
      </c>
      <c r="M361">
        <v>9.6199999999999992</v>
      </c>
      <c r="N361">
        <v>47.87</v>
      </c>
      <c r="O361">
        <v>9.25</v>
      </c>
      <c r="P361" s="3">
        <f t="shared" si="30"/>
        <v>0.96153846153846156</v>
      </c>
      <c r="Q361">
        <v>38.94</v>
      </c>
      <c r="R361" s="3">
        <f t="shared" si="31"/>
        <v>0.81345310215166078</v>
      </c>
      <c r="S361">
        <v>360</v>
      </c>
      <c r="T361">
        <v>9.6110000000000007</v>
      </c>
      <c r="U361">
        <v>47.51</v>
      </c>
      <c r="V361">
        <v>9.2149999999999999</v>
      </c>
      <c r="W361" s="3">
        <f t="shared" si="32"/>
        <v>0.95879721152845687</v>
      </c>
      <c r="X361">
        <v>39.17</v>
      </c>
      <c r="Y361" s="3">
        <f t="shared" si="33"/>
        <v>0.82445800884024423</v>
      </c>
      <c r="Z361">
        <v>360.9</v>
      </c>
      <c r="AA361">
        <v>79</v>
      </c>
      <c r="AB361">
        <v>24.7</v>
      </c>
      <c r="AC361" t="s">
        <v>64</v>
      </c>
      <c r="AE361" t="s">
        <v>65</v>
      </c>
      <c r="AF361" t="s">
        <v>66</v>
      </c>
      <c r="AG361" s="2">
        <v>44107</v>
      </c>
      <c r="AH361" s="1">
        <v>0.59304398148148152</v>
      </c>
      <c r="AI361" t="s">
        <v>68</v>
      </c>
      <c r="AJ361" t="s">
        <v>69</v>
      </c>
      <c r="AO361">
        <v>7.6980000000000004</v>
      </c>
      <c r="AP361">
        <v>49.610999999999997</v>
      </c>
      <c r="AQ361">
        <v>12.8</v>
      </c>
      <c r="AR361">
        <v>1.92</v>
      </c>
      <c r="AS361">
        <v>45.106999999999999</v>
      </c>
      <c r="AT361">
        <v>51.2</v>
      </c>
      <c r="AY361">
        <v>2.69</v>
      </c>
      <c r="AZ361" s="2">
        <v>44138</v>
      </c>
      <c r="BB361" s="2">
        <v>44138</v>
      </c>
      <c r="BD361" t="s">
        <v>68</v>
      </c>
      <c r="BE361" t="s">
        <v>1584</v>
      </c>
      <c r="BF361" t="s">
        <v>1585</v>
      </c>
      <c r="BG361" t="s">
        <v>1586</v>
      </c>
      <c r="BH361">
        <v>0</v>
      </c>
      <c r="BI361">
        <v>0</v>
      </c>
      <c r="BJ361">
        <v>1</v>
      </c>
      <c r="BK361" t="s">
        <v>1587</v>
      </c>
      <c r="BL361">
        <v>8.8620000000000001</v>
      </c>
      <c r="BM361">
        <v>8.8620000000000001</v>
      </c>
      <c r="BN361" s="2">
        <v>44107</v>
      </c>
      <c r="BO361" s="1">
        <v>0.59304398148148152</v>
      </c>
      <c r="BP361" s="3">
        <f t="shared" si="34"/>
        <v>0.99714909998959511</v>
      </c>
      <c r="BQ361" s="3">
        <f t="shared" si="35"/>
        <v>1.0135286307956468</v>
      </c>
    </row>
    <row r="362" spans="1:69" hidden="1" x14ac:dyDescent="0.35">
      <c r="A362">
        <v>360</v>
      </c>
      <c r="B362">
        <v>4354</v>
      </c>
      <c r="D362">
        <v>12</v>
      </c>
      <c r="E362">
        <v>1</v>
      </c>
      <c r="G362">
        <v>19949.900000000001</v>
      </c>
      <c r="I362" t="s">
        <v>62</v>
      </c>
      <c r="L362" t="s">
        <v>1385</v>
      </c>
      <c r="M362">
        <v>9.6199999999999992</v>
      </c>
      <c r="N362">
        <v>47.87</v>
      </c>
      <c r="O362">
        <v>9.25</v>
      </c>
      <c r="P362" s="3">
        <f t="shared" si="30"/>
        <v>0.96153846153846156</v>
      </c>
      <c r="Q362">
        <v>38.94</v>
      </c>
      <c r="R362" s="3">
        <f t="shared" si="31"/>
        <v>0.81345310215166078</v>
      </c>
      <c r="S362">
        <v>360</v>
      </c>
      <c r="T362">
        <v>9.577</v>
      </c>
      <c r="U362">
        <v>47.39</v>
      </c>
      <c r="V362">
        <v>9.1839999999999993</v>
      </c>
      <c r="W362" s="3">
        <f t="shared" si="32"/>
        <v>0.95896418502662617</v>
      </c>
      <c r="X362">
        <v>38.74</v>
      </c>
      <c r="Y362" s="3">
        <f t="shared" si="33"/>
        <v>0.81747204051487654</v>
      </c>
      <c r="Z362">
        <v>355.8</v>
      </c>
      <c r="AA362">
        <v>78.400000000000006</v>
      </c>
      <c r="AB362">
        <v>25</v>
      </c>
      <c r="AC362" t="s">
        <v>64</v>
      </c>
      <c r="AE362" t="s">
        <v>65</v>
      </c>
      <c r="AF362" t="s">
        <v>66</v>
      </c>
      <c r="AG362" s="2">
        <v>44107</v>
      </c>
      <c r="AH362" s="1">
        <v>0.46443287037037034</v>
      </c>
      <c r="AI362" t="s">
        <v>68</v>
      </c>
      <c r="AJ362" t="s">
        <v>69</v>
      </c>
      <c r="AO362">
        <v>7.6980000000000004</v>
      </c>
      <c r="AP362">
        <v>48.935000000000002</v>
      </c>
      <c r="AQ362">
        <v>12.8</v>
      </c>
      <c r="AR362">
        <v>1.925</v>
      </c>
      <c r="AS362">
        <v>44.2</v>
      </c>
      <c r="AT362">
        <v>51.2</v>
      </c>
      <c r="AY362">
        <v>2.69</v>
      </c>
      <c r="AZ362" s="2">
        <v>44138</v>
      </c>
      <c r="BB362" s="2">
        <v>44138</v>
      </c>
      <c r="BD362" t="s">
        <v>68</v>
      </c>
      <c r="BE362" t="s">
        <v>1588</v>
      </c>
      <c r="BF362" t="s">
        <v>1589</v>
      </c>
      <c r="BG362" t="s">
        <v>1590</v>
      </c>
      <c r="BH362">
        <v>0</v>
      </c>
      <c r="BI362">
        <v>0</v>
      </c>
      <c r="BJ362">
        <v>1</v>
      </c>
      <c r="BK362" t="s">
        <v>1591</v>
      </c>
      <c r="BL362">
        <v>8.8620000000000001</v>
      </c>
      <c r="BM362">
        <v>8.8620000000000001</v>
      </c>
      <c r="BN362" s="2">
        <v>43684</v>
      </c>
      <c r="BO362" s="1">
        <v>0.53388888888888886</v>
      </c>
      <c r="BP362" s="3">
        <f t="shared" si="34"/>
        <v>0.99732275242769119</v>
      </c>
      <c r="BQ362" s="3">
        <f t="shared" si="35"/>
        <v>1.004940590124477</v>
      </c>
    </row>
    <row r="363" spans="1:69" hidden="1" x14ac:dyDescent="0.35">
      <c r="A363">
        <v>361</v>
      </c>
      <c r="B363">
        <v>4522</v>
      </c>
      <c r="D363">
        <v>12</v>
      </c>
      <c r="E363">
        <v>1</v>
      </c>
      <c r="G363">
        <v>19949.900000000001</v>
      </c>
      <c r="I363" t="s">
        <v>62</v>
      </c>
      <c r="L363" t="s">
        <v>183</v>
      </c>
      <c r="M363">
        <v>9.6199999999999992</v>
      </c>
      <c r="N363">
        <v>47.87</v>
      </c>
      <c r="O363">
        <v>9.25</v>
      </c>
      <c r="P363" s="3">
        <f t="shared" si="30"/>
        <v>0.96153846153846156</v>
      </c>
      <c r="Q363">
        <v>38.94</v>
      </c>
      <c r="R363" s="3">
        <f t="shared" si="31"/>
        <v>0.81345310215166078</v>
      </c>
      <c r="S363">
        <v>360</v>
      </c>
      <c r="T363">
        <v>9.6189999999999998</v>
      </c>
      <c r="U363">
        <v>47.26</v>
      </c>
      <c r="V363">
        <v>9.1920000000000002</v>
      </c>
      <c r="W363" s="3">
        <f t="shared" si="32"/>
        <v>0.95560869113213431</v>
      </c>
      <c r="X363">
        <v>38.770000000000003</v>
      </c>
      <c r="Y363" s="3">
        <f t="shared" si="33"/>
        <v>0.8203554803216252</v>
      </c>
      <c r="Z363">
        <v>356.4</v>
      </c>
      <c r="AA363">
        <v>78.400000000000006</v>
      </c>
      <c r="AB363">
        <v>24.7</v>
      </c>
      <c r="AC363" t="s">
        <v>64</v>
      </c>
      <c r="AE363" t="s">
        <v>65</v>
      </c>
      <c r="AF363" t="s">
        <v>66</v>
      </c>
      <c r="AG363" s="2">
        <v>44107</v>
      </c>
      <c r="AH363" s="1">
        <v>0.59437499999999999</v>
      </c>
      <c r="AI363" t="s">
        <v>68</v>
      </c>
      <c r="AJ363" t="s">
        <v>69</v>
      </c>
      <c r="AO363">
        <v>7.6980000000000004</v>
      </c>
      <c r="AP363">
        <v>49.610999999999997</v>
      </c>
      <c r="AQ363">
        <v>12.8</v>
      </c>
      <c r="AR363">
        <v>1.925</v>
      </c>
      <c r="AS363">
        <v>44.994999999999997</v>
      </c>
      <c r="AT363">
        <v>51.2</v>
      </c>
      <c r="AY363">
        <v>2.69</v>
      </c>
      <c r="AZ363" s="2">
        <v>44138</v>
      </c>
      <c r="BB363" s="2">
        <v>44138</v>
      </c>
      <c r="BD363" t="s">
        <v>68</v>
      </c>
      <c r="BE363" t="s">
        <v>1592</v>
      </c>
      <c r="BF363" t="s">
        <v>1593</v>
      </c>
      <c r="BG363" t="s">
        <v>1594</v>
      </c>
      <c r="BH363">
        <v>0</v>
      </c>
      <c r="BI363">
        <v>0</v>
      </c>
      <c r="BJ363">
        <v>1</v>
      </c>
      <c r="BK363" t="s">
        <v>1595</v>
      </c>
      <c r="BL363">
        <v>8.8620000000000001</v>
      </c>
      <c r="BM363">
        <v>8.8620000000000001</v>
      </c>
      <c r="BN363" s="2">
        <v>44107</v>
      </c>
      <c r="BO363" s="1">
        <v>0.59437499999999999</v>
      </c>
      <c r="BP363" s="3">
        <f t="shared" si="34"/>
        <v>0.99383303877741969</v>
      </c>
      <c r="BQ363" s="3">
        <f t="shared" si="35"/>
        <v>1.0084852810219875</v>
      </c>
    </row>
    <row r="364" spans="1:69" hidden="1" x14ac:dyDescent="0.35">
      <c r="A364">
        <v>362</v>
      </c>
      <c r="B364">
        <v>4525</v>
      </c>
      <c r="D364">
        <v>12</v>
      </c>
      <c r="E364">
        <v>1</v>
      </c>
      <c r="G364">
        <v>19949.900000000001</v>
      </c>
      <c r="I364" t="s">
        <v>62</v>
      </c>
      <c r="L364" t="s">
        <v>183</v>
      </c>
      <c r="M364">
        <v>9.6199999999999992</v>
      </c>
      <c r="N364">
        <v>47.87</v>
      </c>
      <c r="O364">
        <v>9.25</v>
      </c>
      <c r="P364" s="3">
        <f t="shared" si="30"/>
        <v>0.96153846153846156</v>
      </c>
      <c r="Q364">
        <v>38.94</v>
      </c>
      <c r="R364" s="3">
        <f t="shared" si="31"/>
        <v>0.81345310215166078</v>
      </c>
      <c r="S364">
        <v>360</v>
      </c>
      <c r="T364">
        <v>9.6180000000000003</v>
      </c>
      <c r="U364">
        <v>47.39</v>
      </c>
      <c r="V364">
        <v>9.1929999999999996</v>
      </c>
      <c r="W364" s="3">
        <f t="shared" si="32"/>
        <v>0.95581201913079639</v>
      </c>
      <c r="X364">
        <v>39.01</v>
      </c>
      <c r="Y364" s="3">
        <f t="shared" si="33"/>
        <v>0.82316944503059708</v>
      </c>
      <c r="Z364">
        <v>358.7</v>
      </c>
      <c r="AA364">
        <v>78.7</v>
      </c>
      <c r="AB364">
        <v>25.3</v>
      </c>
      <c r="AC364" t="s">
        <v>64</v>
      </c>
      <c r="AE364" t="s">
        <v>65</v>
      </c>
      <c r="AF364" t="s">
        <v>66</v>
      </c>
      <c r="AG364" s="2">
        <v>44107</v>
      </c>
      <c r="AH364" s="1">
        <v>0.60589120370370375</v>
      </c>
      <c r="AI364" t="s">
        <v>68</v>
      </c>
      <c r="AJ364" t="s">
        <v>69</v>
      </c>
      <c r="AO364">
        <v>7.6980000000000004</v>
      </c>
      <c r="AP364">
        <v>49.347999999999999</v>
      </c>
      <c r="AQ364">
        <v>12.8</v>
      </c>
      <c r="AR364">
        <v>1.925</v>
      </c>
      <c r="AS364">
        <v>44.881999999999998</v>
      </c>
      <c r="AT364">
        <v>51.2</v>
      </c>
      <c r="AY364">
        <v>2.69</v>
      </c>
      <c r="AZ364" s="2">
        <v>44138</v>
      </c>
      <c r="BB364" s="2">
        <v>44138</v>
      </c>
      <c r="BD364" t="s">
        <v>68</v>
      </c>
      <c r="BE364" t="s">
        <v>1596</v>
      </c>
      <c r="BF364" t="s">
        <v>1597</v>
      </c>
      <c r="BG364" t="s">
        <v>1598</v>
      </c>
      <c r="BH364">
        <v>0</v>
      </c>
      <c r="BI364">
        <v>1</v>
      </c>
      <c r="BJ364">
        <v>2</v>
      </c>
      <c r="BK364" t="s">
        <v>1599</v>
      </c>
      <c r="BL364">
        <v>8.8620000000000001</v>
      </c>
      <c r="BM364">
        <v>8.8620000000000001</v>
      </c>
      <c r="BN364" s="2">
        <v>44107</v>
      </c>
      <c r="BO364" s="1">
        <v>0.60589120370370375</v>
      </c>
      <c r="BP364" s="3">
        <f t="shared" si="34"/>
        <v>0.99404449989602817</v>
      </c>
      <c r="BQ364" s="3">
        <f t="shared" si="35"/>
        <v>1.0119445642941622</v>
      </c>
    </row>
    <row r="365" spans="1:69" hidden="1" x14ac:dyDescent="0.35">
      <c r="A365">
        <v>363</v>
      </c>
      <c r="B365">
        <v>4525</v>
      </c>
      <c r="D365">
        <v>12</v>
      </c>
      <c r="E365">
        <v>1</v>
      </c>
      <c r="G365">
        <v>19949.900000000001</v>
      </c>
      <c r="I365" t="s">
        <v>62</v>
      </c>
      <c r="L365" t="s">
        <v>1369</v>
      </c>
      <c r="M365">
        <v>9.6199999999999992</v>
      </c>
      <c r="N365">
        <v>47.87</v>
      </c>
      <c r="O365">
        <v>9.25</v>
      </c>
      <c r="P365" s="3">
        <f t="shared" si="30"/>
        <v>0.96153846153846156</v>
      </c>
      <c r="Q365">
        <v>38.94</v>
      </c>
      <c r="R365" s="3">
        <f t="shared" si="31"/>
        <v>0.81345310215166078</v>
      </c>
      <c r="S365">
        <v>360</v>
      </c>
      <c r="T365">
        <v>9.5419999999999998</v>
      </c>
      <c r="U365">
        <v>47.03</v>
      </c>
      <c r="V365">
        <v>9.1229999999999993</v>
      </c>
      <c r="W365" s="3">
        <f t="shared" si="32"/>
        <v>0.95608887025780753</v>
      </c>
      <c r="X365">
        <v>38.49</v>
      </c>
      <c r="Y365" s="3">
        <f t="shared" si="33"/>
        <v>0.81841377843929408</v>
      </c>
      <c r="Z365">
        <v>351.1</v>
      </c>
      <c r="AA365">
        <v>78.2</v>
      </c>
      <c r="AB365">
        <v>25.2</v>
      </c>
      <c r="AC365" t="s">
        <v>64</v>
      </c>
      <c r="AE365" t="s">
        <v>65</v>
      </c>
      <c r="AF365" t="s">
        <v>66</v>
      </c>
      <c r="AG365" s="2">
        <v>44229</v>
      </c>
      <c r="AH365" s="1">
        <v>0.42120370370370369</v>
      </c>
      <c r="AI365" t="s">
        <v>68</v>
      </c>
      <c r="AJ365" t="s">
        <v>69</v>
      </c>
      <c r="AO365">
        <v>7.6429999999999998</v>
      </c>
      <c r="AP365">
        <v>48.41</v>
      </c>
      <c r="AQ365">
        <v>12.8</v>
      </c>
      <c r="AR365">
        <v>1.91</v>
      </c>
      <c r="AS365">
        <v>43.869</v>
      </c>
      <c r="AT365">
        <v>51.2</v>
      </c>
      <c r="AY365">
        <v>2.76</v>
      </c>
      <c r="AZ365" s="2">
        <v>44410</v>
      </c>
      <c r="BB365" s="2">
        <v>44410</v>
      </c>
      <c r="BD365" t="s">
        <v>68</v>
      </c>
      <c r="BE365" t="s">
        <v>1600</v>
      </c>
      <c r="BF365" t="s">
        <v>1601</v>
      </c>
      <c r="BG365" t="s">
        <v>1602</v>
      </c>
      <c r="BH365">
        <v>0</v>
      </c>
      <c r="BI365">
        <v>0</v>
      </c>
      <c r="BJ365">
        <v>2</v>
      </c>
      <c r="BK365" t="s">
        <v>1603</v>
      </c>
      <c r="BL365">
        <v>8.8620000000000001</v>
      </c>
      <c r="BM365">
        <v>8.8620000000000001</v>
      </c>
      <c r="BN365" s="2">
        <v>44107</v>
      </c>
      <c r="BO365" s="1">
        <v>0.60589120370370375</v>
      </c>
      <c r="BP365" s="3">
        <f t="shared" si="34"/>
        <v>0.99433242506811981</v>
      </c>
      <c r="BQ365" s="3">
        <f t="shared" si="35"/>
        <v>1.0060982941419878</v>
      </c>
    </row>
    <row r="366" spans="1:69" hidden="1" x14ac:dyDescent="0.35">
      <c r="A366">
        <v>364</v>
      </c>
      <c r="B366">
        <v>4546</v>
      </c>
      <c r="D366">
        <v>12</v>
      </c>
      <c r="E366">
        <v>1</v>
      </c>
      <c r="G366">
        <v>19949.900000000001</v>
      </c>
      <c r="I366" t="s">
        <v>62</v>
      </c>
      <c r="L366" t="s">
        <v>183</v>
      </c>
      <c r="M366">
        <v>9.6199999999999992</v>
      </c>
      <c r="N366">
        <v>47.87</v>
      </c>
      <c r="O366">
        <v>9.25</v>
      </c>
      <c r="P366" s="3">
        <f t="shared" si="30"/>
        <v>0.96153846153846156</v>
      </c>
      <c r="Q366">
        <v>38.94</v>
      </c>
      <c r="R366" s="3">
        <f t="shared" si="31"/>
        <v>0.81345310215166078</v>
      </c>
      <c r="S366">
        <v>360</v>
      </c>
      <c r="T366">
        <v>9.5739999999999998</v>
      </c>
      <c r="U366">
        <v>47.51</v>
      </c>
      <c r="V366">
        <v>9.1539999999999999</v>
      </c>
      <c r="W366" s="3">
        <f t="shared" si="32"/>
        <v>0.95613118863588886</v>
      </c>
      <c r="X366">
        <v>39.17</v>
      </c>
      <c r="Y366" s="3">
        <f t="shared" si="33"/>
        <v>0.82445800884024423</v>
      </c>
      <c r="Z366">
        <v>358.6</v>
      </c>
      <c r="AA366">
        <v>78.8</v>
      </c>
      <c r="AB366">
        <v>24.9</v>
      </c>
      <c r="AC366" t="s">
        <v>64</v>
      </c>
      <c r="AE366" t="s">
        <v>65</v>
      </c>
      <c r="AF366" t="s">
        <v>66</v>
      </c>
      <c r="AG366" t="s">
        <v>1374</v>
      </c>
      <c r="AH366" s="1">
        <v>0.38466435185185183</v>
      </c>
      <c r="AI366" t="s">
        <v>68</v>
      </c>
      <c r="AJ366" t="s">
        <v>69</v>
      </c>
      <c r="AO366">
        <v>7.6980000000000004</v>
      </c>
      <c r="AP366">
        <v>49.386000000000003</v>
      </c>
      <c r="AQ366">
        <v>12.8</v>
      </c>
      <c r="AR366">
        <v>1.925</v>
      </c>
      <c r="AS366">
        <v>44.844000000000001</v>
      </c>
      <c r="AT366">
        <v>51.2</v>
      </c>
      <c r="AY366">
        <v>2.69</v>
      </c>
      <c r="AZ366" t="s">
        <v>1375</v>
      </c>
      <c r="BB366" t="s">
        <v>1375</v>
      </c>
      <c r="BD366" t="s">
        <v>68</v>
      </c>
      <c r="BE366" t="s">
        <v>1604</v>
      </c>
      <c r="BF366" t="s">
        <v>1605</v>
      </c>
      <c r="BG366" t="s">
        <v>1606</v>
      </c>
      <c r="BH366">
        <v>0</v>
      </c>
      <c r="BI366">
        <v>0</v>
      </c>
      <c r="BJ366">
        <v>1</v>
      </c>
      <c r="BK366" t="s">
        <v>1607</v>
      </c>
      <c r="BL366">
        <v>8.8620000000000001</v>
      </c>
      <c r="BM366">
        <v>8.8620000000000001</v>
      </c>
      <c r="BN366" t="s">
        <v>1374</v>
      </c>
      <c r="BO366" s="1">
        <v>0.38466435185185183</v>
      </c>
      <c r="BP366" s="3">
        <f t="shared" si="34"/>
        <v>0.99437643618132443</v>
      </c>
      <c r="BQ366" s="3">
        <f t="shared" si="35"/>
        <v>1.0135286307956468</v>
      </c>
    </row>
    <row r="367" spans="1:69" hidden="1" x14ac:dyDescent="0.35">
      <c r="A367">
        <v>365</v>
      </c>
      <c r="B367">
        <v>4558</v>
      </c>
      <c r="D367">
        <v>12</v>
      </c>
      <c r="E367">
        <v>1</v>
      </c>
      <c r="G367">
        <v>19949.900000000001</v>
      </c>
      <c r="I367" t="s">
        <v>62</v>
      </c>
      <c r="L367" t="s">
        <v>183</v>
      </c>
      <c r="M367">
        <v>9.6199999999999992</v>
      </c>
      <c r="N367">
        <v>47.87</v>
      </c>
      <c r="O367">
        <v>9.25</v>
      </c>
      <c r="P367" s="3">
        <f t="shared" si="30"/>
        <v>0.96153846153846156</v>
      </c>
      <c r="Q367">
        <v>38.94</v>
      </c>
      <c r="R367" s="3">
        <f t="shared" si="31"/>
        <v>0.81345310215166078</v>
      </c>
      <c r="S367">
        <v>360</v>
      </c>
      <c r="T367">
        <v>9.5310000000000006</v>
      </c>
      <c r="U367">
        <v>47.36</v>
      </c>
      <c r="V367">
        <v>9.1359999999999992</v>
      </c>
      <c r="W367" s="3">
        <f t="shared" si="32"/>
        <v>0.95855629000104903</v>
      </c>
      <c r="X367">
        <v>38.979999999999997</v>
      </c>
      <c r="Y367" s="3">
        <f t="shared" si="33"/>
        <v>0.82305743243243235</v>
      </c>
      <c r="Z367">
        <v>356.1</v>
      </c>
      <c r="AA367">
        <v>78.900000000000006</v>
      </c>
      <c r="AB367">
        <v>25.1</v>
      </c>
      <c r="AC367" t="s">
        <v>64</v>
      </c>
      <c r="AE367" t="s">
        <v>65</v>
      </c>
      <c r="AF367" t="s">
        <v>66</v>
      </c>
      <c r="AG367" t="s">
        <v>1374</v>
      </c>
      <c r="AH367" s="1">
        <v>0.40309027777777778</v>
      </c>
      <c r="AI367" t="s">
        <v>68</v>
      </c>
      <c r="AJ367" t="s">
        <v>69</v>
      </c>
      <c r="AO367">
        <v>7.6980000000000004</v>
      </c>
      <c r="AP367">
        <v>49.460999999999999</v>
      </c>
      <c r="AQ367">
        <v>12.8</v>
      </c>
      <c r="AR367">
        <v>1.925</v>
      </c>
      <c r="AS367">
        <v>44.881999999999998</v>
      </c>
      <c r="AT367">
        <v>51.2</v>
      </c>
      <c r="AY367">
        <v>2.69</v>
      </c>
      <c r="AZ367" t="s">
        <v>1375</v>
      </c>
      <c r="BB367" t="s">
        <v>1375</v>
      </c>
      <c r="BD367" t="s">
        <v>68</v>
      </c>
      <c r="BE367" t="s">
        <v>1608</v>
      </c>
      <c r="BF367" t="s">
        <v>1609</v>
      </c>
      <c r="BG367" t="s">
        <v>1610</v>
      </c>
      <c r="BH367">
        <v>0</v>
      </c>
      <c r="BI367">
        <v>1</v>
      </c>
      <c r="BJ367">
        <v>2</v>
      </c>
      <c r="BK367" t="s">
        <v>1611</v>
      </c>
      <c r="BL367">
        <v>8.8620000000000001</v>
      </c>
      <c r="BM367">
        <v>8.8620000000000001</v>
      </c>
      <c r="BN367" t="s">
        <v>1374</v>
      </c>
      <c r="BO367" s="1">
        <v>0.40309027777777778</v>
      </c>
      <c r="BP367" s="3">
        <f t="shared" si="34"/>
        <v>0.99689854160109093</v>
      </c>
      <c r="BQ367" s="3">
        <f t="shared" si="35"/>
        <v>1.0118068641638556</v>
      </c>
    </row>
    <row r="368" spans="1:69" hidden="1" x14ac:dyDescent="0.35">
      <c r="A368">
        <v>366</v>
      </c>
      <c r="B368">
        <v>4558</v>
      </c>
      <c r="D368">
        <v>12</v>
      </c>
      <c r="E368">
        <v>1</v>
      </c>
      <c r="G368">
        <v>19949.900000000001</v>
      </c>
      <c r="I368" t="s">
        <v>62</v>
      </c>
      <c r="L368" t="s">
        <v>1520</v>
      </c>
      <c r="M368">
        <v>9.6199999999999992</v>
      </c>
      <c r="N368">
        <v>47.87</v>
      </c>
      <c r="O368">
        <v>9.25</v>
      </c>
      <c r="P368" s="3">
        <f t="shared" si="30"/>
        <v>0.96153846153846156</v>
      </c>
      <c r="Q368">
        <v>38.94</v>
      </c>
      <c r="R368" s="3">
        <f t="shared" si="31"/>
        <v>0.81345310215166078</v>
      </c>
      <c r="S368">
        <v>360</v>
      </c>
      <c r="T368">
        <v>9.5150000000000006</v>
      </c>
      <c r="U368">
        <v>46.95</v>
      </c>
      <c r="V368">
        <v>9.1050000000000004</v>
      </c>
      <c r="W368" s="3">
        <f t="shared" si="32"/>
        <v>0.95691014188124013</v>
      </c>
      <c r="X368">
        <v>38.4</v>
      </c>
      <c r="Y368" s="3">
        <f t="shared" si="33"/>
        <v>0.8178913738019169</v>
      </c>
      <c r="Z368">
        <v>349.7</v>
      </c>
      <c r="AA368">
        <v>78.3</v>
      </c>
      <c r="AB368">
        <v>25.1</v>
      </c>
      <c r="AC368" t="s">
        <v>64</v>
      </c>
      <c r="AE368" t="s">
        <v>65</v>
      </c>
      <c r="AF368" t="s">
        <v>66</v>
      </c>
      <c r="AG368" s="2">
        <v>44229</v>
      </c>
      <c r="AH368" s="1">
        <v>0.42199074074074072</v>
      </c>
      <c r="AI368" t="s">
        <v>68</v>
      </c>
      <c r="AJ368" t="s">
        <v>69</v>
      </c>
      <c r="AO368">
        <v>7.6379999999999999</v>
      </c>
      <c r="AP368">
        <v>48.372</v>
      </c>
      <c r="AQ368">
        <v>12.8</v>
      </c>
      <c r="AR368">
        <v>1.91</v>
      </c>
      <c r="AS368">
        <v>43.756</v>
      </c>
      <c r="AT368">
        <v>51.2</v>
      </c>
      <c r="AY368">
        <v>2.76</v>
      </c>
      <c r="AZ368" s="2">
        <v>44410</v>
      </c>
      <c r="BB368" s="2">
        <v>44410</v>
      </c>
      <c r="BD368" t="s">
        <v>68</v>
      </c>
      <c r="BE368" t="s">
        <v>1612</v>
      </c>
      <c r="BF368" t="s">
        <v>1613</v>
      </c>
      <c r="BG368" t="s">
        <v>1614</v>
      </c>
      <c r="BH368">
        <v>0</v>
      </c>
      <c r="BI368">
        <v>0</v>
      </c>
      <c r="BJ368">
        <v>2</v>
      </c>
      <c r="BK368" t="s">
        <v>1615</v>
      </c>
      <c r="BL368">
        <v>8.8620000000000001</v>
      </c>
      <c r="BM368">
        <v>8.8620000000000001</v>
      </c>
      <c r="BN368" t="s">
        <v>1374</v>
      </c>
      <c r="BO368" s="1">
        <v>0.40309027777777778</v>
      </c>
      <c r="BP368" s="3">
        <f t="shared" si="34"/>
        <v>0.99518654755648972</v>
      </c>
      <c r="BQ368" s="3">
        <f t="shared" si="35"/>
        <v>1.0054560879275234</v>
      </c>
    </row>
    <row r="369" spans="1:69" hidden="1" x14ac:dyDescent="0.35">
      <c r="A369">
        <v>367</v>
      </c>
      <c r="B369">
        <v>4551</v>
      </c>
      <c r="D369">
        <v>12</v>
      </c>
      <c r="E369">
        <v>1</v>
      </c>
      <c r="G369">
        <v>19949.900000000001</v>
      </c>
      <c r="I369" t="s">
        <v>62</v>
      </c>
      <c r="L369" t="s">
        <v>183</v>
      </c>
      <c r="M369">
        <v>9.6199999999999992</v>
      </c>
      <c r="N369">
        <v>47.87</v>
      </c>
      <c r="O369">
        <v>9.25</v>
      </c>
      <c r="P369" s="3">
        <f t="shared" si="30"/>
        <v>0.96153846153846156</v>
      </c>
      <c r="Q369">
        <v>38.94</v>
      </c>
      <c r="R369" s="3">
        <f t="shared" si="31"/>
        <v>0.81345310215166078</v>
      </c>
      <c r="S369">
        <v>360</v>
      </c>
      <c r="T369">
        <v>9.5609999999999999</v>
      </c>
      <c r="U369">
        <v>47.38</v>
      </c>
      <c r="V369">
        <v>9.1449999999999996</v>
      </c>
      <c r="W369" s="3">
        <f t="shared" si="32"/>
        <v>0.95648990691350277</v>
      </c>
      <c r="X369">
        <v>38.92</v>
      </c>
      <c r="Y369" s="3">
        <f t="shared" si="33"/>
        <v>0.82144364710848461</v>
      </c>
      <c r="Z369">
        <v>355.9</v>
      </c>
      <c r="AA369">
        <v>78.599999999999994</v>
      </c>
      <c r="AB369">
        <v>24.9</v>
      </c>
      <c r="AC369" t="s">
        <v>64</v>
      </c>
      <c r="AE369" t="s">
        <v>65</v>
      </c>
      <c r="AF369" t="s">
        <v>66</v>
      </c>
      <c r="AG369" t="s">
        <v>1374</v>
      </c>
      <c r="AH369" s="1">
        <v>0.39216435185185183</v>
      </c>
      <c r="AI369" t="s">
        <v>68</v>
      </c>
      <c r="AJ369" t="s">
        <v>69</v>
      </c>
      <c r="AO369">
        <v>7.6980000000000004</v>
      </c>
      <c r="AP369">
        <v>49.460999999999999</v>
      </c>
      <c r="AQ369">
        <v>12.8</v>
      </c>
      <c r="AR369">
        <v>1.93</v>
      </c>
      <c r="AS369">
        <v>44.807000000000002</v>
      </c>
      <c r="AT369">
        <v>51.2</v>
      </c>
      <c r="AY369">
        <v>2.69</v>
      </c>
      <c r="AZ369" t="s">
        <v>1375</v>
      </c>
      <c r="BB369" t="s">
        <v>1375</v>
      </c>
      <c r="BD369" t="s">
        <v>68</v>
      </c>
      <c r="BE369" t="s">
        <v>1616</v>
      </c>
      <c r="BF369" t="s">
        <v>1617</v>
      </c>
      <c r="BG369" t="s">
        <v>1618</v>
      </c>
      <c r="BH369">
        <v>0</v>
      </c>
      <c r="BI369">
        <v>1</v>
      </c>
      <c r="BJ369">
        <v>2</v>
      </c>
      <c r="BK369" t="s">
        <v>1619</v>
      </c>
      <c r="BL369">
        <v>8.8620000000000001</v>
      </c>
      <c r="BM369">
        <v>8.8620000000000001</v>
      </c>
      <c r="BN369" t="s">
        <v>1374</v>
      </c>
      <c r="BO369" s="1">
        <v>0.39216435185185183</v>
      </c>
      <c r="BP369" s="3">
        <f t="shared" si="34"/>
        <v>0.99474950319004285</v>
      </c>
      <c r="BQ369" s="3">
        <f t="shared" si="35"/>
        <v>1.009822994018571</v>
      </c>
    </row>
    <row r="370" spans="1:69" hidden="1" x14ac:dyDescent="0.35">
      <c r="A370">
        <v>368</v>
      </c>
      <c r="B370">
        <v>4551</v>
      </c>
      <c r="D370">
        <v>12</v>
      </c>
      <c r="E370">
        <v>1</v>
      </c>
      <c r="G370">
        <v>19949.900000000001</v>
      </c>
      <c r="I370" t="s">
        <v>62</v>
      </c>
      <c r="L370" t="s">
        <v>1520</v>
      </c>
      <c r="M370">
        <v>9.6199999999999992</v>
      </c>
      <c r="N370">
        <v>47.87</v>
      </c>
      <c r="O370">
        <v>9.25</v>
      </c>
      <c r="P370" s="3">
        <f t="shared" si="30"/>
        <v>0.96153846153846156</v>
      </c>
      <c r="Q370">
        <v>38.94</v>
      </c>
      <c r="R370" s="3">
        <f t="shared" si="31"/>
        <v>0.81345310215166078</v>
      </c>
      <c r="S370">
        <v>360</v>
      </c>
      <c r="T370">
        <v>9.5410000000000004</v>
      </c>
      <c r="U370">
        <v>46.99</v>
      </c>
      <c r="V370">
        <v>9.1210000000000004</v>
      </c>
      <c r="W370" s="3">
        <f t="shared" si="32"/>
        <v>0.95597945707997067</v>
      </c>
      <c r="X370">
        <v>38.33</v>
      </c>
      <c r="Y370" s="3">
        <f t="shared" si="33"/>
        <v>0.81570546924877629</v>
      </c>
      <c r="Z370">
        <v>349.6</v>
      </c>
      <c r="AA370">
        <v>78</v>
      </c>
      <c r="AB370">
        <v>25.1</v>
      </c>
      <c r="AC370" t="s">
        <v>64</v>
      </c>
      <c r="AE370" t="s">
        <v>65</v>
      </c>
      <c r="AF370" t="s">
        <v>66</v>
      </c>
      <c r="AG370" s="2">
        <v>44229</v>
      </c>
      <c r="AH370" s="1">
        <v>0.42271990740740739</v>
      </c>
      <c r="AI370" t="s">
        <v>68</v>
      </c>
      <c r="AJ370" t="s">
        <v>69</v>
      </c>
      <c r="AO370">
        <v>7.6429999999999998</v>
      </c>
      <c r="AP370">
        <v>48.523000000000003</v>
      </c>
      <c r="AQ370">
        <v>12.8</v>
      </c>
      <c r="AR370">
        <v>1.91</v>
      </c>
      <c r="AS370">
        <v>43.905999999999999</v>
      </c>
      <c r="AT370">
        <v>51.2</v>
      </c>
      <c r="AY370">
        <v>2.76</v>
      </c>
      <c r="AZ370" s="2">
        <v>44410</v>
      </c>
      <c r="BB370" s="2">
        <v>44410</v>
      </c>
      <c r="BD370" t="s">
        <v>68</v>
      </c>
      <c r="BE370" t="s">
        <v>1620</v>
      </c>
      <c r="BF370" t="s">
        <v>1621</v>
      </c>
      <c r="BG370" t="s">
        <v>1622</v>
      </c>
      <c r="BH370">
        <v>0</v>
      </c>
      <c r="BI370">
        <v>0</v>
      </c>
      <c r="BJ370">
        <v>2</v>
      </c>
      <c r="BK370" t="s">
        <v>1623</v>
      </c>
      <c r="BL370">
        <v>8.8620000000000001</v>
      </c>
      <c r="BM370">
        <v>8.8620000000000001</v>
      </c>
      <c r="BN370" t="s">
        <v>1374</v>
      </c>
      <c r="BO370" s="1">
        <v>0.39216435185185183</v>
      </c>
      <c r="BP370" s="3">
        <f t="shared" si="34"/>
        <v>0.99421863536316946</v>
      </c>
      <c r="BQ370" s="3">
        <f t="shared" si="35"/>
        <v>1.0027688960693097</v>
      </c>
    </row>
    <row r="371" spans="1:69" hidden="1" x14ac:dyDescent="0.35">
      <c r="A371">
        <v>369</v>
      </c>
      <c r="B371">
        <v>4541</v>
      </c>
      <c r="D371">
        <v>12</v>
      </c>
      <c r="E371">
        <v>1</v>
      </c>
      <c r="G371">
        <v>19949.900000000001</v>
      </c>
      <c r="I371" t="s">
        <v>62</v>
      </c>
      <c r="L371" t="s">
        <v>183</v>
      </c>
      <c r="M371">
        <v>9.6199999999999992</v>
      </c>
      <c r="N371">
        <v>47.87</v>
      </c>
      <c r="O371">
        <v>9.25</v>
      </c>
      <c r="P371" s="3">
        <f t="shared" si="30"/>
        <v>0.96153846153846156</v>
      </c>
      <c r="Q371">
        <v>38.94</v>
      </c>
      <c r="R371" s="3">
        <f t="shared" si="31"/>
        <v>0.81345310215166078</v>
      </c>
      <c r="S371">
        <v>360</v>
      </c>
      <c r="T371">
        <v>9.5489999999999995</v>
      </c>
      <c r="U371">
        <v>47.4</v>
      </c>
      <c r="V371">
        <v>9.1440000000000001</v>
      </c>
      <c r="W371" s="3">
        <f t="shared" si="32"/>
        <v>0.95758718190386438</v>
      </c>
      <c r="X371">
        <v>39</v>
      </c>
      <c r="Y371" s="3">
        <f t="shared" si="33"/>
        <v>0.82278481012658233</v>
      </c>
      <c r="Z371">
        <v>356.7</v>
      </c>
      <c r="AA371">
        <v>78.8</v>
      </c>
      <c r="AB371">
        <v>24.9</v>
      </c>
      <c r="AC371" t="s">
        <v>64</v>
      </c>
      <c r="AE371" t="s">
        <v>65</v>
      </c>
      <c r="AF371" t="s">
        <v>66</v>
      </c>
      <c r="AG371" t="s">
        <v>1374</v>
      </c>
      <c r="AH371" s="1">
        <v>0.37853009259259257</v>
      </c>
      <c r="AI371" t="s">
        <v>68</v>
      </c>
      <c r="AJ371" t="s">
        <v>69</v>
      </c>
      <c r="AO371">
        <v>7.6980000000000004</v>
      </c>
      <c r="AP371">
        <v>49.235999999999997</v>
      </c>
      <c r="AQ371">
        <v>12.8</v>
      </c>
      <c r="AR371">
        <v>1.925</v>
      </c>
      <c r="AS371">
        <v>44.694000000000003</v>
      </c>
      <c r="AT371">
        <v>51.2</v>
      </c>
      <c r="AY371">
        <v>2.69</v>
      </c>
      <c r="AZ371" t="s">
        <v>1375</v>
      </c>
      <c r="BB371" t="s">
        <v>1375</v>
      </c>
      <c r="BD371" t="s">
        <v>68</v>
      </c>
      <c r="BE371" t="s">
        <v>1624</v>
      </c>
      <c r="BF371" t="s">
        <v>1625</v>
      </c>
      <c r="BG371" t="s">
        <v>1626</v>
      </c>
      <c r="BH371">
        <v>0</v>
      </c>
      <c r="BI371">
        <v>1</v>
      </c>
      <c r="BJ371">
        <v>2</v>
      </c>
      <c r="BK371" t="s">
        <v>1627</v>
      </c>
      <c r="BL371">
        <v>8.8620000000000001</v>
      </c>
      <c r="BM371">
        <v>8.8620000000000001</v>
      </c>
      <c r="BN371" t="s">
        <v>1374</v>
      </c>
      <c r="BO371" s="1">
        <v>0.37853009259259257</v>
      </c>
      <c r="BP371" s="3">
        <f t="shared" si="34"/>
        <v>0.99589066918001889</v>
      </c>
      <c r="BQ371" s="3">
        <f t="shared" si="35"/>
        <v>1.0114717221561247</v>
      </c>
    </row>
    <row r="372" spans="1:69" hidden="1" x14ac:dyDescent="0.35">
      <c r="A372">
        <v>370</v>
      </c>
      <c r="B372">
        <v>4541</v>
      </c>
      <c r="D372">
        <v>12</v>
      </c>
      <c r="E372">
        <v>1</v>
      </c>
      <c r="G372">
        <v>19949.900000000001</v>
      </c>
      <c r="I372" t="s">
        <v>62</v>
      </c>
      <c r="L372" t="s">
        <v>1520</v>
      </c>
      <c r="M372">
        <v>9.6199999999999992</v>
      </c>
      <c r="N372">
        <v>47.87</v>
      </c>
      <c r="O372">
        <v>9.25</v>
      </c>
      <c r="P372" s="3">
        <f t="shared" si="30"/>
        <v>0.96153846153846156</v>
      </c>
      <c r="Q372">
        <v>38.94</v>
      </c>
      <c r="R372" s="3">
        <f t="shared" si="31"/>
        <v>0.81345310215166078</v>
      </c>
      <c r="S372">
        <v>360</v>
      </c>
      <c r="T372">
        <v>9.5289999999999999</v>
      </c>
      <c r="U372">
        <v>47.01</v>
      </c>
      <c r="V372">
        <v>9.1110000000000007</v>
      </c>
      <c r="W372" s="3">
        <f t="shared" si="32"/>
        <v>0.9561339070206738</v>
      </c>
      <c r="X372">
        <v>38.380000000000003</v>
      </c>
      <c r="Y372" s="3">
        <f t="shared" si="33"/>
        <v>0.81642203786428424</v>
      </c>
      <c r="Z372">
        <v>349.7</v>
      </c>
      <c r="AA372">
        <v>78.099999999999994</v>
      </c>
      <c r="AB372">
        <v>25</v>
      </c>
      <c r="AC372" t="s">
        <v>64</v>
      </c>
      <c r="AE372" t="s">
        <v>65</v>
      </c>
      <c r="AF372" t="s">
        <v>66</v>
      </c>
      <c r="AG372" s="2">
        <v>44229</v>
      </c>
      <c r="AH372" s="1">
        <v>0.41684027777777777</v>
      </c>
      <c r="AI372" t="s">
        <v>68</v>
      </c>
      <c r="AJ372" t="s">
        <v>69</v>
      </c>
      <c r="AO372">
        <v>7.6379999999999999</v>
      </c>
      <c r="AP372">
        <v>48.335000000000001</v>
      </c>
      <c r="AQ372">
        <v>12.8</v>
      </c>
      <c r="AR372">
        <v>1.91</v>
      </c>
      <c r="AS372">
        <v>43.756</v>
      </c>
      <c r="AT372">
        <v>51.2</v>
      </c>
      <c r="AY372">
        <v>2.76</v>
      </c>
      <c r="AZ372" s="2">
        <v>44410</v>
      </c>
      <c r="BB372" s="2">
        <v>44410</v>
      </c>
      <c r="BD372" t="s">
        <v>68</v>
      </c>
      <c r="BE372" t="s">
        <v>1628</v>
      </c>
      <c r="BF372" t="s">
        <v>1629</v>
      </c>
      <c r="BG372" t="s">
        <v>1630</v>
      </c>
      <c r="BH372">
        <v>0</v>
      </c>
      <c r="BI372">
        <v>0</v>
      </c>
      <c r="BJ372">
        <v>2</v>
      </c>
      <c r="BK372" t="s">
        <v>1631</v>
      </c>
      <c r="BL372">
        <v>8.8620000000000001</v>
      </c>
      <c r="BM372">
        <v>8.8620000000000001</v>
      </c>
      <c r="BN372" t="s">
        <v>1374</v>
      </c>
      <c r="BO372" s="1">
        <v>0.37853009259259257</v>
      </c>
      <c r="BP372" s="3">
        <f t="shared" si="34"/>
        <v>0.99437926330150073</v>
      </c>
      <c r="BQ372" s="3">
        <f t="shared" si="35"/>
        <v>1.0036497933375266</v>
      </c>
    </row>
    <row r="373" spans="1:69" hidden="1" x14ac:dyDescent="0.35">
      <c r="A373">
        <v>371</v>
      </c>
      <c r="B373">
        <v>4510</v>
      </c>
      <c r="D373">
        <v>12</v>
      </c>
      <c r="E373">
        <v>1</v>
      </c>
      <c r="G373">
        <v>19949.900000000001</v>
      </c>
      <c r="I373" t="s">
        <v>62</v>
      </c>
      <c r="L373" t="s">
        <v>183</v>
      </c>
      <c r="M373">
        <v>9.6199999999999992</v>
      </c>
      <c r="N373">
        <v>47.87</v>
      </c>
      <c r="O373">
        <v>9.25</v>
      </c>
      <c r="P373" s="3">
        <f t="shared" si="30"/>
        <v>0.96153846153846156</v>
      </c>
      <c r="Q373">
        <v>38.94</v>
      </c>
      <c r="R373" s="3">
        <f t="shared" si="31"/>
        <v>0.81345310215166078</v>
      </c>
      <c r="S373">
        <v>360</v>
      </c>
      <c r="T373">
        <v>9.6039999999999992</v>
      </c>
      <c r="U373">
        <v>47.53</v>
      </c>
      <c r="V373">
        <v>9.2029999999999994</v>
      </c>
      <c r="W373" s="3">
        <f t="shared" si="32"/>
        <v>0.95824656393169516</v>
      </c>
      <c r="X373">
        <v>39.08</v>
      </c>
      <c r="Y373" s="3">
        <f t="shared" si="33"/>
        <v>0.82221754681253945</v>
      </c>
      <c r="Z373">
        <v>359.7</v>
      </c>
      <c r="AA373">
        <v>78.8</v>
      </c>
      <c r="AB373">
        <v>25</v>
      </c>
      <c r="AC373" t="s">
        <v>64</v>
      </c>
      <c r="AE373" t="s">
        <v>65</v>
      </c>
      <c r="AF373" t="s">
        <v>66</v>
      </c>
      <c r="AG373" s="2">
        <v>44107</v>
      </c>
      <c r="AH373" s="1">
        <v>0.57582175925925927</v>
      </c>
      <c r="AI373" t="s">
        <v>68</v>
      </c>
      <c r="AJ373" t="s">
        <v>69</v>
      </c>
      <c r="AO373">
        <v>7.6980000000000004</v>
      </c>
      <c r="AP373">
        <v>49.686</v>
      </c>
      <c r="AQ373">
        <v>12.8</v>
      </c>
      <c r="AR373">
        <v>1.92</v>
      </c>
      <c r="AS373">
        <v>45.145000000000003</v>
      </c>
      <c r="AT373">
        <v>51.2</v>
      </c>
      <c r="AY373">
        <v>2.69</v>
      </c>
      <c r="AZ373" s="2">
        <v>44138</v>
      </c>
      <c r="BB373" s="2">
        <v>44138</v>
      </c>
      <c r="BD373" t="s">
        <v>68</v>
      </c>
      <c r="BE373" t="s">
        <v>1632</v>
      </c>
      <c r="BF373" t="s">
        <v>1633</v>
      </c>
      <c r="BG373" t="s">
        <v>1634</v>
      </c>
      <c r="BH373">
        <v>0</v>
      </c>
      <c r="BI373">
        <v>0</v>
      </c>
      <c r="BJ373">
        <v>1</v>
      </c>
      <c r="BK373" t="s">
        <v>1635</v>
      </c>
      <c r="BL373">
        <v>8.8620000000000001</v>
      </c>
      <c r="BM373">
        <v>8.8620000000000001</v>
      </c>
      <c r="BN373" s="2">
        <v>44107</v>
      </c>
      <c r="BO373" s="1">
        <v>0.57582175925925927</v>
      </c>
      <c r="BP373" s="3">
        <f t="shared" si="34"/>
        <v>0.99657642648896294</v>
      </c>
      <c r="BQ373" s="3">
        <f t="shared" si="35"/>
        <v>1.0107743699516245</v>
      </c>
    </row>
    <row r="374" spans="1:69" hidden="1" x14ac:dyDescent="0.35">
      <c r="A374">
        <v>372</v>
      </c>
      <c r="B374">
        <v>4547</v>
      </c>
      <c r="D374">
        <v>12</v>
      </c>
      <c r="E374">
        <v>1</v>
      </c>
      <c r="G374">
        <v>19949.900000000001</v>
      </c>
      <c r="I374" t="s">
        <v>62</v>
      </c>
      <c r="L374" t="s">
        <v>183</v>
      </c>
      <c r="M374">
        <v>9.6199999999999992</v>
      </c>
      <c r="N374">
        <v>47.87</v>
      </c>
      <c r="O374">
        <v>9.25</v>
      </c>
      <c r="P374" s="3">
        <f t="shared" si="30"/>
        <v>0.96153846153846156</v>
      </c>
      <c r="Q374">
        <v>38.94</v>
      </c>
      <c r="R374" s="3">
        <f t="shared" si="31"/>
        <v>0.81345310215166078</v>
      </c>
      <c r="S374">
        <v>360</v>
      </c>
      <c r="T374">
        <v>9.5679999999999996</v>
      </c>
      <c r="U374">
        <v>47.37</v>
      </c>
      <c r="V374">
        <v>9.1530000000000005</v>
      </c>
      <c r="W374" s="3">
        <f t="shared" si="32"/>
        <v>0.9566262541806021</v>
      </c>
      <c r="X374">
        <v>38.96</v>
      </c>
      <c r="Y374" s="3">
        <f t="shared" si="33"/>
        <v>0.82246147350643872</v>
      </c>
      <c r="Z374">
        <v>356.7</v>
      </c>
      <c r="AA374">
        <v>78.7</v>
      </c>
      <c r="AB374">
        <v>24.9</v>
      </c>
      <c r="AC374" t="s">
        <v>64</v>
      </c>
      <c r="AE374" t="s">
        <v>65</v>
      </c>
      <c r="AF374" t="s">
        <v>66</v>
      </c>
      <c r="AG374" t="s">
        <v>1374</v>
      </c>
      <c r="AH374" s="1">
        <v>0.38594907407407408</v>
      </c>
      <c r="AI374" t="s">
        <v>68</v>
      </c>
      <c r="AJ374" t="s">
        <v>69</v>
      </c>
      <c r="AO374">
        <v>7.6980000000000004</v>
      </c>
      <c r="AP374">
        <v>49.347999999999999</v>
      </c>
      <c r="AQ374">
        <v>12.8</v>
      </c>
      <c r="AR374">
        <v>1.92</v>
      </c>
      <c r="AS374">
        <v>44.731999999999999</v>
      </c>
      <c r="AT374">
        <v>51.2</v>
      </c>
      <c r="AY374">
        <v>2.69</v>
      </c>
      <c r="AZ374" t="s">
        <v>1375</v>
      </c>
      <c r="BB374" t="s">
        <v>1375</v>
      </c>
      <c r="BD374" t="s">
        <v>68</v>
      </c>
      <c r="BE374" t="s">
        <v>1636</v>
      </c>
      <c r="BF374" t="s">
        <v>1637</v>
      </c>
      <c r="BG374" t="s">
        <v>1638</v>
      </c>
      <c r="BH374">
        <v>0</v>
      </c>
      <c r="BI374">
        <v>0</v>
      </c>
      <c r="BJ374">
        <v>1</v>
      </c>
      <c r="BK374" t="s">
        <v>1639</v>
      </c>
      <c r="BL374">
        <v>8.8620000000000001</v>
      </c>
      <c r="BM374">
        <v>8.8620000000000001</v>
      </c>
      <c r="BN374" t="s">
        <v>1374</v>
      </c>
      <c r="BO374" s="1">
        <v>0.38594907407407408</v>
      </c>
      <c r="BP374" s="3">
        <f t="shared" si="34"/>
        <v>0.99489130434782613</v>
      </c>
      <c r="BQ374" s="3">
        <f t="shared" si="35"/>
        <v>1.0110742356639244</v>
      </c>
    </row>
    <row r="375" spans="1:69" hidden="1" x14ac:dyDescent="0.35">
      <c r="A375">
        <v>373</v>
      </c>
      <c r="B375">
        <v>4540</v>
      </c>
      <c r="D375">
        <v>12</v>
      </c>
      <c r="E375">
        <v>1</v>
      </c>
      <c r="G375">
        <v>19949.900000000001</v>
      </c>
      <c r="I375" t="s">
        <v>62</v>
      </c>
      <c r="L375" t="s">
        <v>183</v>
      </c>
      <c r="M375">
        <v>9.6199999999999992</v>
      </c>
      <c r="N375">
        <v>47.87</v>
      </c>
      <c r="O375">
        <v>9.25</v>
      </c>
      <c r="P375" s="3">
        <f t="shared" si="30"/>
        <v>0.96153846153846156</v>
      </c>
      <c r="Q375">
        <v>38.94</v>
      </c>
      <c r="R375" s="3">
        <f t="shared" si="31"/>
        <v>0.81345310215166078</v>
      </c>
      <c r="S375">
        <v>360</v>
      </c>
      <c r="T375">
        <v>9.5440000000000005</v>
      </c>
      <c r="U375">
        <v>47.42</v>
      </c>
      <c r="V375">
        <v>9.1549999999999994</v>
      </c>
      <c r="W375" s="3">
        <f t="shared" si="32"/>
        <v>0.95924140821458492</v>
      </c>
      <c r="X375">
        <v>39.049999999999997</v>
      </c>
      <c r="Y375" s="3">
        <f t="shared" si="33"/>
        <v>0.82349219738506951</v>
      </c>
      <c r="Z375">
        <v>357.5</v>
      </c>
      <c r="AA375">
        <v>79</v>
      </c>
      <c r="AB375">
        <v>24.9</v>
      </c>
      <c r="AC375" t="s">
        <v>64</v>
      </c>
      <c r="AE375" t="s">
        <v>65</v>
      </c>
      <c r="AF375" t="s">
        <v>66</v>
      </c>
      <c r="AG375" t="s">
        <v>1374</v>
      </c>
      <c r="AH375" s="1">
        <v>0.37737268518518519</v>
      </c>
      <c r="AI375" t="s">
        <v>68</v>
      </c>
      <c r="AJ375" t="s">
        <v>69</v>
      </c>
      <c r="AO375">
        <v>7.6980000000000004</v>
      </c>
      <c r="AP375">
        <v>49.347999999999999</v>
      </c>
      <c r="AQ375">
        <v>12.8</v>
      </c>
      <c r="AR375">
        <v>1.925</v>
      </c>
      <c r="AS375">
        <v>44.694000000000003</v>
      </c>
      <c r="AT375">
        <v>51.2</v>
      </c>
      <c r="AY375">
        <v>2.69</v>
      </c>
      <c r="AZ375" t="s">
        <v>1375</v>
      </c>
      <c r="BB375" t="s">
        <v>1375</v>
      </c>
      <c r="BD375" t="s">
        <v>68</v>
      </c>
      <c r="BE375" t="s">
        <v>1640</v>
      </c>
      <c r="BF375" t="s">
        <v>1641</v>
      </c>
      <c r="BG375" t="s">
        <v>1642</v>
      </c>
      <c r="BH375">
        <v>0</v>
      </c>
      <c r="BI375">
        <v>0</v>
      </c>
      <c r="BJ375">
        <v>1</v>
      </c>
      <c r="BK375" t="s">
        <v>1643</v>
      </c>
      <c r="BL375">
        <v>8.8620000000000001</v>
      </c>
      <c r="BM375">
        <v>8.8620000000000001</v>
      </c>
      <c r="BN375" t="s">
        <v>1374</v>
      </c>
      <c r="BO375" s="1">
        <v>0.37737268518518519</v>
      </c>
      <c r="BP375" s="3">
        <f t="shared" si="34"/>
        <v>0.99761106454316828</v>
      </c>
      <c r="BQ375" s="3">
        <f t="shared" si="35"/>
        <v>1.0123413325326984</v>
      </c>
    </row>
    <row r="376" spans="1:69" hidden="1" x14ac:dyDescent="0.35">
      <c r="A376">
        <v>374</v>
      </c>
      <c r="B376">
        <v>4512</v>
      </c>
      <c r="D376">
        <v>12</v>
      </c>
      <c r="E376">
        <v>1</v>
      </c>
      <c r="G376">
        <v>19949.900000000001</v>
      </c>
      <c r="I376" t="s">
        <v>62</v>
      </c>
      <c r="L376" t="s">
        <v>183</v>
      </c>
      <c r="M376">
        <v>9.6199999999999992</v>
      </c>
      <c r="N376">
        <v>47.87</v>
      </c>
      <c r="O376">
        <v>9.25</v>
      </c>
      <c r="P376" s="3">
        <f t="shared" si="30"/>
        <v>0.96153846153846156</v>
      </c>
      <c r="Q376">
        <v>38.94</v>
      </c>
      <c r="R376" s="3">
        <f t="shared" si="31"/>
        <v>0.81345310215166078</v>
      </c>
      <c r="S376">
        <v>360</v>
      </c>
      <c r="T376">
        <v>9.6189999999999998</v>
      </c>
      <c r="U376">
        <v>47.32</v>
      </c>
      <c r="V376">
        <v>9.1980000000000004</v>
      </c>
      <c r="W376" s="3">
        <f t="shared" si="32"/>
        <v>0.95623245659631984</v>
      </c>
      <c r="X376">
        <v>38.92</v>
      </c>
      <c r="Y376" s="3">
        <f t="shared" si="33"/>
        <v>0.8224852071005917</v>
      </c>
      <c r="Z376">
        <v>358</v>
      </c>
      <c r="AA376">
        <v>78.599999999999994</v>
      </c>
      <c r="AB376">
        <v>25.1</v>
      </c>
      <c r="AC376" t="s">
        <v>64</v>
      </c>
      <c r="AE376" t="s">
        <v>65</v>
      </c>
      <c r="AF376" t="s">
        <v>66</v>
      </c>
      <c r="AG376" s="2">
        <v>44107</v>
      </c>
      <c r="AH376" s="1">
        <v>0.58027777777777778</v>
      </c>
      <c r="AI376" t="s">
        <v>68</v>
      </c>
      <c r="AJ376" t="s">
        <v>69</v>
      </c>
      <c r="AO376">
        <v>7.6980000000000004</v>
      </c>
      <c r="AP376">
        <v>49.610999999999997</v>
      </c>
      <c r="AQ376">
        <v>12.8</v>
      </c>
      <c r="AR376">
        <v>1.925</v>
      </c>
      <c r="AS376">
        <v>44.994999999999997</v>
      </c>
      <c r="AT376">
        <v>51.2</v>
      </c>
      <c r="AY376">
        <v>2.69</v>
      </c>
      <c r="AZ376" s="2">
        <v>44138</v>
      </c>
      <c r="BB376" s="2">
        <v>44138</v>
      </c>
      <c r="BD376" t="s">
        <v>68</v>
      </c>
      <c r="BE376" t="s">
        <v>1644</v>
      </c>
      <c r="BF376" t="s">
        <v>1645</v>
      </c>
      <c r="BG376" t="s">
        <v>1646</v>
      </c>
      <c r="BH376">
        <v>0</v>
      </c>
      <c r="BI376">
        <v>1</v>
      </c>
      <c r="BJ376">
        <v>2</v>
      </c>
      <c r="BK376" t="s">
        <v>1647</v>
      </c>
      <c r="BL376">
        <v>8.8620000000000001</v>
      </c>
      <c r="BM376">
        <v>8.8620000000000001</v>
      </c>
      <c r="BN376" s="2">
        <v>44107</v>
      </c>
      <c r="BO376" s="1">
        <v>0.58027777777777778</v>
      </c>
      <c r="BP376" s="3">
        <f t="shared" si="34"/>
        <v>0.99448175486017265</v>
      </c>
      <c r="BQ376" s="3">
        <f t="shared" si="35"/>
        <v>1.0111034120160587</v>
      </c>
    </row>
    <row r="377" spans="1:69" hidden="1" x14ac:dyDescent="0.35">
      <c r="A377">
        <v>375</v>
      </c>
      <c r="B377">
        <v>4512</v>
      </c>
      <c r="D377">
        <v>12</v>
      </c>
      <c r="E377">
        <v>1</v>
      </c>
      <c r="G377">
        <v>19949.900000000001</v>
      </c>
      <c r="I377" t="s">
        <v>62</v>
      </c>
      <c r="L377" t="s">
        <v>1369</v>
      </c>
      <c r="M377">
        <v>9.6199999999999992</v>
      </c>
      <c r="N377">
        <v>47.87</v>
      </c>
      <c r="O377">
        <v>9.25</v>
      </c>
      <c r="P377" s="3">
        <f t="shared" si="30"/>
        <v>0.96153846153846156</v>
      </c>
      <c r="Q377">
        <v>38.94</v>
      </c>
      <c r="R377" s="3">
        <f t="shared" si="31"/>
        <v>0.81345310215166078</v>
      </c>
      <c r="S377">
        <v>360</v>
      </c>
      <c r="T377">
        <v>9.5399999999999991</v>
      </c>
      <c r="U377">
        <v>46.93</v>
      </c>
      <c r="V377">
        <v>9.1259999999999994</v>
      </c>
      <c r="W377" s="3">
        <f t="shared" si="32"/>
        <v>0.95660377358490567</v>
      </c>
      <c r="X377">
        <v>38.409999999999997</v>
      </c>
      <c r="Y377" s="3">
        <f t="shared" si="33"/>
        <v>0.81845301512891533</v>
      </c>
      <c r="Z377">
        <v>350.5</v>
      </c>
      <c r="AA377">
        <v>78.3</v>
      </c>
      <c r="AB377">
        <v>25.1</v>
      </c>
      <c r="AC377" t="s">
        <v>64</v>
      </c>
      <c r="AE377" t="s">
        <v>65</v>
      </c>
      <c r="AF377" t="s">
        <v>66</v>
      </c>
      <c r="AG377" s="2">
        <v>44229</v>
      </c>
      <c r="AH377" s="1">
        <v>0.41927083333333331</v>
      </c>
      <c r="AI377" t="s">
        <v>68</v>
      </c>
      <c r="AJ377" t="s">
        <v>69</v>
      </c>
      <c r="AO377">
        <v>7.6429999999999998</v>
      </c>
      <c r="AP377">
        <v>48.335000000000001</v>
      </c>
      <c r="AQ377">
        <v>12.8</v>
      </c>
      <c r="AR377">
        <v>1.91</v>
      </c>
      <c r="AS377">
        <v>43.793999999999997</v>
      </c>
      <c r="AT377">
        <v>51.2</v>
      </c>
      <c r="AY377">
        <v>2.76</v>
      </c>
      <c r="AZ377" s="2">
        <v>44410</v>
      </c>
      <c r="BB377" s="2">
        <v>44410</v>
      </c>
      <c r="BD377" t="s">
        <v>68</v>
      </c>
      <c r="BE377" t="s">
        <v>1648</v>
      </c>
      <c r="BF377" t="s">
        <v>1649</v>
      </c>
      <c r="BG377" t="s">
        <v>1650</v>
      </c>
      <c r="BH377">
        <v>0</v>
      </c>
      <c r="BI377">
        <v>0</v>
      </c>
      <c r="BJ377">
        <v>2</v>
      </c>
      <c r="BK377" t="s">
        <v>1651</v>
      </c>
      <c r="BL377">
        <v>8.8620000000000001</v>
      </c>
      <c r="BM377">
        <v>8.8620000000000001</v>
      </c>
      <c r="BN377" s="2">
        <v>44107</v>
      </c>
      <c r="BO377" s="1">
        <v>0.58027777777777778</v>
      </c>
      <c r="BP377" s="3">
        <f t="shared" si="34"/>
        <v>0.99486792452830186</v>
      </c>
      <c r="BQ377" s="3">
        <f t="shared" si="35"/>
        <v>1.0061465288706002</v>
      </c>
    </row>
    <row r="378" spans="1:69" hidden="1" x14ac:dyDescent="0.35">
      <c r="A378">
        <v>376</v>
      </c>
      <c r="B378">
        <v>4549</v>
      </c>
      <c r="D378">
        <v>12</v>
      </c>
      <c r="E378">
        <v>1</v>
      </c>
      <c r="G378">
        <v>19949.900000000001</v>
      </c>
      <c r="I378" t="s">
        <v>62</v>
      </c>
      <c r="L378" t="s">
        <v>183</v>
      </c>
      <c r="M378">
        <v>9.6199999999999992</v>
      </c>
      <c r="N378">
        <v>47.87</v>
      </c>
      <c r="O378">
        <v>9.25</v>
      </c>
      <c r="P378" s="3">
        <f t="shared" si="30"/>
        <v>0.96153846153846156</v>
      </c>
      <c r="Q378">
        <v>38.94</v>
      </c>
      <c r="R378" s="3">
        <f t="shared" si="31"/>
        <v>0.81345310215166078</v>
      </c>
      <c r="S378">
        <v>360</v>
      </c>
      <c r="T378">
        <v>9.5719999999999992</v>
      </c>
      <c r="U378">
        <v>47.43</v>
      </c>
      <c r="V378">
        <v>9.1549999999999994</v>
      </c>
      <c r="W378" s="3">
        <f t="shared" si="32"/>
        <v>0.95643543669034681</v>
      </c>
      <c r="X378">
        <v>39.08</v>
      </c>
      <c r="Y378" s="3">
        <f t="shared" si="33"/>
        <v>0.82395108581066834</v>
      </c>
      <c r="Z378">
        <v>357.8</v>
      </c>
      <c r="AA378">
        <v>78.8</v>
      </c>
      <c r="AB378">
        <v>25</v>
      </c>
      <c r="AC378" t="s">
        <v>64</v>
      </c>
      <c r="AE378" t="s">
        <v>65</v>
      </c>
      <c r="AF378" t="s">
        <v>66</v>
      </c>
      <c r="AG378" t="s">
        <v>1374</v>
      </c>
      <c r="AH378" s="1">
        <v>0.38918981481481479</v>
      </c>
      <c r="AI378" t="s">
        <v>68</v>
      </c>
      <c r="AJ378" t="s">
        <v>69</v>
      </c>
      <c r="AO378">
        <v>7.6980000000000004</v>
      </c>
      <c r="AP378">
        <v>49.423000000000002</v>
      </c>
      <c r="AQ378">
        <v>12.8</v>
      </c>
      <c r="AR378">
        <v>1.92</v>
      </c>
      <c r="AS378">
        <v>49.893999999999998</v>
      </c>
      <c r="AT378">
        <v>51.2</v>
      </c>
      <c r="AY378">
        <v>2.69</v>
      </c>
      <c r="AZ378" t="s">
        <v>1375</v>
      </c>
      <c r="BB378" t="s">
        <v>1375</v>
      </c>
      <c r="BD378" t="s">
        <v>68</v>
      </c>
      <c r="BE378" t="s">
        <v>1652</v>
      </c>
      <c r="BF378" t="s">
        <v>1653</v>
      </c>
      <c r="BG378" t="s">
        <v>1654</v>
      </c>
      <c r="BH378">
        <v>0</v>
      </c>
      <c r="BI378">
        <v>0</v>
      </c>
      <c r="BJ378">
        <v>1</v>
      </c>
      <c r="BK378" t="s">
        <v>1655</v>
      </c>
      <c r="BL378">
        <v>8.8620000000000001</v>
      </c>
      <c r="BM378">
        <v>8.8620000000000001</v>
      </c>
      <c r="BN378" t="s">
        <v>1374</v>
      </c>
      <c r="BO378" s="1">
        <v>0.38918981481481479</v>
      </c>
      <c r="BP378" s="3">
        <f t="shared" si="34"/>
        <v>0.9946928541579606</v>
      </c>
      <c r="BQ378" s="3">
        <f t="shared" si="35"/>
        <v>1.0129054565422879</v>
      </c>
    </row>
    <row r="379" spans="1:69" hidden="1" x14ac:dyDescent="0.35">
      <c r="A379">
        <v>377</v>
      </c>
      <c r="B379">
        <v>4531</v>
      </c>
      <c r="D379">
        <v>12</v>
      </c>
      <c r="E379">
        <v>1</v>
      </c>
      <c r="G379">
        <v>19949.900000000001</v>
      </c>
      <c r="I379" t="s">
        <v>62</v>
      </c>
      <c r="L379" t="s">
        <v>183</v>
      </c>
      <c r="M379">
        <v>9.6199999999999992</v>
      </c>
      <c r="N379">
        <v>47.87</v>
      </c>
      <c r="O379">
        <v>9.25</v>
      </c>
      <c r="P379" s="3">
        <f t="shared" si="30"/>
        <v>0.96153846153846156</v>
      </c>
      <c r="Q379">
        <v>38.94</v>
      </c>
      <c r="R379" s="3">
        <f t="shared" si="31"/>
        <v>0.81345310215166078</v>
      </c>
      <c r="S379">
        <v>360</v>
      </c>
      <c r="T379">
        <v>9.6189999999999998</v>
      </c>
      <c r="U379">
        <v>47.51</v>
      </c>
      <c r="V379">
        <v>9.2029999999999994</v>
      </c>
      <c r="W379" s="3">
        <f t="shared" si="32"/>
        <v>0.9567522611498076</v>
      </c>
      <c r="X379">
        <v>39.18</v>
      </c>
      <c r="Y379" s="3">
        <f t="shared" si="33"/>
        <v>0.82466849084403282</v>
      </c>
      <c r="Z379">
        <v>360.6</v>
      </c>
      <c r="AA379">
        <v>78.900000000000006</v>
      </c>
      <c r="AB379">
        <v>24.8</v>
      </c>
      <c r="AC379" t="s">
        <v>64</v>
      </c>
      <c r="AE379" t="s">
        <v>65</v>
      </c>
      <c r="AF379" t="s">
        <v>66</v>
      </c>
      <c r="AG379" s="2">
        <v>44107</v>
      </c>
      <c r="AH379" s="1">
        <v>0.61364583333333333</v>
      </c>
      <c r="AI379" t="s">
        <v>68</v>
      </c>
      <c r="AJ379" t="s">
        <v>69</v>
      </c>
      <c r="AO379">
        <v>7.6980000000000004</v>
      </c>
      <c r="AP379">
        <v>49.686</v>
      </c>
      <c r="AQ379">
        <v>12.8</v>
      </c>
      <c r="AR379">
        <v>1.925</v>
      </c>
      <c r="AS379">
        <v>45.106999999999999</v>
      </c>
      <c r="AT379">
        <v>51.2</v>
      </c>
      <c r="AY379">
        <v>2.69</v>
      </c>
      <c r="AZ379" s="2">
        <v>44138</v>
      </c>
      <c r="BB379" s="2">
        <v>44138</v>
      </c>
      <c r="BD379" t="s">
        <v>68</v>
      </c>
      <c r="BE379" t="s">
        <v>1656</v>
      </c>
      <c r="BF379" t="s">
        <v>1657</v>
      </c>
      <c r="BG379" t="s">
        <v>1658</v>
      </c>
      <c r="BH379">
        <v>0</v>
      </c>
      <c r="BI379">
        <v>0</v>
      </c>
      <c r="BJ379">
        <v>1</v>
      </c>
      <c r="BK379" t="s">
        <v>1659</v>
      </c>
      <c r="BL379">
        <v>8.8620000000000001</v>
      </c>
      <c r="BM379">
        <v>8.8620000000000001</v>
      </c>
      <c r="BN379" s="2">
        <v>44107</v>
      </c>
      <c r="BO379" s="1">
        <v>0.61364583333333333</v>
      </c>
      <c r="BP379" s="3">
        <f t="shared" si="34"/>
        <v>0.99502235159579988</v>
      </c>
      <c r="BQ379" s="3">
        <f t="shared" si="35"/>
        <v>1.0137873820417014</v>
      </c>
    </row>
    <row r="380" spans="1:69" hidden="1" x14ac:dyDescent="0.35">
      <c r="A380">
        <v>378</v>
      </c>
      <c r="B380">
        <v>4515</v>
      </c>
      <c r="D380">
        <v>12</v>
      </c>
      <c r="E380">
        <v>1</v>
      </c>
      <c r="G380">
        <v>19949.900000000001</v>
      </c>
      <c r="I380" t="s">
        <v>62</v>
      </c>
      <c r="L380" t="s">
        <v>183</v>
      </c>
      <c r="M380">
        <v>9.6199999999999992</v>
      </c>
      <c r="N380">
        <v>47.87</v>
      </c>
      <c r="O380">
        <v>9.25</v>
      </c>
      <c r="P380" s="3">
        <f t="shared" si="30"/>
        <v>0.96153846153846156</v>
      </c>
      <c r="Q380">
        <v>38.94</v>
      </c>
      <c r="R380" s="3">
        <f t="shared" si="31"/>
        <v>0.81345310215166078</v>
      </c>
      <c r="S380">
        <v>360</v>
      </c>
      <c r="T380">
        <v>9.6229999999999993</v>
      </c>
      <c r="U380">
        <v>47.44</v>
      </c>
      <c r="V380">
        <v>9.2089999999999996</v>
      </c>
      <c r="W380" s="3">
        <f t="shared" si="32"/>
        <v>0.95697807336589424</v>
      </c>
      <c r="X380">
        <v>39.049999999999997</v>
      </c>
      <c r="Y380" s="3">
        <f t="shared" si="33"/>
        <v>0.82314502529510958</v>
      </c>
      <c r="Z380">
        <v>359.7</v>
      </c>
      <c r="AA380">
        <v>78.8</v>
      </c>
      <c r="AB380">
        <v>25.2</v>
      </c>
      <c r="AC380" t="s">
        <v>64</v>
      </c>
      <c r="AE380" t="s">
        <v>65</v>
      </c>
      <c r="AF380" t="s">
        <v>66</v>
      </c>
      <c r="AG380" s="2">
        <v>44107</v>
      </c>
      <c r="AH380" s="1">
        <v>0.58476851851851852</v>
      </c>
      <c r="AI380" t="s">
        <v>68</v>
      </c>
      <c r="AJ380" t="s">
        <v>69</v>
      </c>
      <c r="AO380">
        <v>7.6980000000000004</v>
      </c>
      <c r="AP380">
        <v>49.497999999999998</v>
      </c>
      <c r="AQ380">
        <v>12.8</v>
      </c>
      <c r="AR380">
        <v>1.925</v>
      </c>
      <c r="AS380">
        <v>44.957000000000001</v>
      </c>
      <c r="AT380">
        <v>51.2</v>
      </c>
      <c r="AY380">
        <v>2.69</v>
      </c>
      <c r="AZ380" s="2">
        <v>44138</v>
      </c>
      <c r="BB380" s="2">
        <v>44138</v>
      </c>
      <c r="BD380" t="s">
        <v>68</v>
      </c>
      <c r="BE380" t="s">
        <v>1660</v>
      </c>
      <c r="BF380" t="s">
        <v>1661</v>
      </c>
      <c r="BG380" t="s">
        <v>1662</v>
      </c>
      <c r="BH380">
        <v>0</v>
      </c>
      <c r="BI380">
        <v>0</v>
      </c>
      <c r="BJ380">
        <v>1</v>
      </c>
      <c r="BK380" t="s">
        <v>1663</v>
      </c>
      <c r="BL380">
        <v>8.8620000000000001</v>
      </c>
      <c r="BM380">
        <v>8.8620000000000001</v>
      </c>
      <c r="BN380" s="2">
        <v>44107</v>
      </c>
      <c r="BO380" s="1">
        <v>0.58476851851851852</v>
      </c>
      <c r="BP380" s="3">
        <f t="shared" si="34"/>
        <v>0.99525719630053</v>
      </c>
      <c r="BQ380" s="3">
        <f t="shared" si="35"/>
        <v>1.0119145444498432</v>
      </c>
    </row>
    <row r="381" spans="1:69" hidden="1" x14ac:dyDescent="0.35">
      <c r="A381">
        <v>379</v>
      </c>
      <c r="B381">
        <v>4523</v>
      </c>
      <c r="D381">
        <v>12</v>
      </c>
      <c r="E381">
        <v>1</v>
      </c>
      <c r="G381">
        <v>19949.900000000001</v>
      </c>
      <c r="I381" t="s">
        <v>62</v>
      </c>
      <c r="L381" t="s">
        <v>183</v>
      </c>
      <c r="M381">
        <v>9.6199999999999992</v>
      </c>
      <c r="N381">
        <v>47.87</v>
      </c>
      <c r="O381">
        <v>9.25</v>
      </c>
      <c r="P381" s="3">
        <f t="shared" si="30"/>
        <v>0.96153846153846156</v>
      </c>
      <c r="Q381">
        <v>38.94</v>
      </c>
      <c r="R381" s="3">
        <f t="shared" si="31"/>
        <v>0.81345310215166078</v>
      </c>
      <c r="S381">
        <v>360</v>
      </c>
      <c r="T381">
        <v>9.6020000000000003</v>
      </c>
      <c r="U381">
        <v>47.33</v>
      </c>
      <c r="V381">
        <v>9.1790000000000003</v>
      </c>
      <c r="W381" s="3">
        <f t="shared" si="32"/>
        <v>0.95594667777546349</v>
      </c>
      <c r="X381">
        <v>38.799999999999997</v>
      </c>
      <c r="Y381" s="3">
        <f t="shared" si="33"/>
        <v>0.81977604056623699</v>
      </c>
      <c r="Z381">
        <v>356.1</v>
      </c>
      <c r="AA381">
        <v>78.400000000000006</v>
      </c>
      <c r="AB381">
        <v>25.1</v>
      </c>
      <c r="AC381" t="s">
        <v>64</v>
      </c>
      <c r="AE381" t="s">
        <v>65</v>
      </c>
      <c r="AF381" t="s">
        <v>66</v>
      </c>
      <c r="AG381" s="2">
        <v>44107</v>
      </c>
      <c r="AH381" s="1">
        <v>0.6008796296296296</v>
      </c>
      <c r="AI381" t="s">
        <v>68</v>
      </c>
      <c r="AJ381" t="s">
        <v>69</v>
      </c>
      <c r="AO381">
        <v>7.6980000000000004</v>
      </c>
      <c r="AP381">
        <v>49.497999999999998</v>
      </c>
      <c r="AQ381">
        <v>12.8</v>
      </c>
      <c r="AR381">
        <v>1.925</v>
      </c>
      <c r="AS381">
        <v>44.881999999999998</v>
      </c>
      <c r="AT381">
        <v>51.2</v>
      </c>
      <c r="AY381">
        <v>2.69</v>
      </c>
      <c r="AZ381" s="2">
        <v>44138</v>
      </c>
      <c r="BB381" s="2">
        <v>44138</v>
      </c>
      <c r="BD381" t="s">
        <v>68</v>
      </c>
      <c r="BE381" t="s">
        <v>1664</v>
      </c>
      <c r="BF381" t="s">
        <v>1665</v>
      </c>
      <c r="BG381" t="s">
        <v>1666</v>
      </c>
      <c r="BH381">
        <v>0</v>
      </c>
      <c r="BI381">
        <v>0</v>
      </c>
      <c r="BJ381">
        <v>1</v>
      </c>
      <c r="BK381" t="s">
        <v>1667</v>
      </c>
      <c r="BL381">
        <v>8.8620000000000001</v>
      </c>
      <c r="BM381">
        <v>8.8620000000000001</v>
      </c>
      <c r="BN381" s="2">
        <v>44107</v>
      </c>
      <c r="BO381" s="1">
        <v>0.6008796296296296</v>
      </c>
      <c r="BP381" s="3">
        <f t="shared" si="34"/>
        <v>0.994184544886482</v>
      </c>
      <c r="BQ381" s="3">
        <f t="shared" si="35"/>
        <v>1.0077729599873078</v>
      </c>
    </row>
    <row r="382" spans="1:69" hidden="1" x14ac:dyDescent="0.35">
      <c r="A382">
        <v>380</v>
      </c>
      <c r="B382">
        <v>4552</v>
      </c>
      <c r="D382">
        <v>12</v>
      </c>
      <c r="E382">
        <v>1</v>
      </c>
      <c r="G382">
        <v>19949.900000000001</v>
      </c>
      <c r="I382" t="s">
        <v>62</v>
      </c>
      <c r="L382" t="s">
        <v>183</v>
      </c>
      <c r="M382">
        <v>9.6199999999999992</v>
      </c>
      <c r="N382">
        <v>47.87</v>
      </c>
      <c r="O382">
        <v>9.25</v>
      </c>
      <c r="P382" s="3">
        <f t="shared" si="30"/>
        <v>0.96153846153846156</v>
      </c>
      <c r="Q382">
        <v>38.94</v>
      </c>
      <c r="R382" s="3">
        <f t="shared" si="31"/>
        <v>0.81345310215166078</v>
      </c>
      <c r="S382">
        <v>360</v>
      </c>
      <c r="T382">
        <v>9.5470000000000006</v>
      </c>
      <c r="U382">
        <v>47.41</v>
      </c>
      <c r="V382">
        <v>9.1370000000000005</v>
      </c>
      <c r="W382" s="3">
        <f t="shared" si="32"/>
        <v>0.95705457211689537</v>
      </c>
      <c r="X382">
        <v>39.1</v>
      </c>
      <c r="Y382" s="3">
        <f t="shared" si="33"/>
        <v>0.82472052309639321</v>
      </c>
      <c r="Z382">
        <v>357.2</v>
      </c>
      <c r="AA382">
        <v>78.900000000000006</v>
      </c>
      <c r="AB382">
        <v>25</v>
      </c>
      <c r="AC382" t="s">
        <v>64</v>
      </c>
      <c r="AE382" t="s">
        <v>65</v>
      </c>
      <c r="AF382" t="s">
        <v>66</v>
      </c>
      <c r="AG382" t="s">
        <v>1374</v>
      </c>
      <c r="AH382" s="1">
        <v>0.39363425925925927</v>
      </c>
      <c r="AI382" t="s">
        <v>68</v>
      </c>
      <c r="AJ382" t="s">
        <v>69</v>
      </c>
      <c r="AO382">
        <v>7.6980000000000004</v>
      </c>
      <c r="AP382">
        <v>49.460999999999999</v>
      </c>
      <c r="AQ382">
        <v>12.8</v>
      </c>
      <c r="AR382">
        <v>1.925</v>
      </c>
      <c r="AS382">
        <v>44.881999999999998</v>
      </c>
      <c r="AT382">
        <v>51.2</v>
      </c>
      <c r="AY382">
        <v>2.69</v>
      </c>
      <c r="AZ382" t="s">
        <v>1375</v>
      </c>
      <c r="BB382" t="s">
        <v>1375</v>
      </c>
      <c r="BD382" t="s">
        <v>68</v>
      </c>
      <c r="BE382" t="s">
        <v>1668</v>
      </c>
      <c r="BF382" t="s">
        <v>1669</v>
      </c>
      <c r="BG382" t="s">
        <v>1670</v>
      </c>
      <c r="BH382">
        <v>0</v>
      </c>
      <c r="BI382">
        <v>0</v>
      </c>
      <c r="BJ382">
        <v>1</v>
      </c>
      <c r="BK382" t="s">
        <v>1671</v>
      </c>
      <c r="BL382">
        <v>8.8620000000000001</v>
      </c>
      <c r="BM382">
        <v>8.8620000000000001</v>
      </c>
      <c r="BN382" t="s">
        <v>1374</v>
      </c>
      <c r="BO382" s="1">
        <v>0.39363425925925927</v>
      </c>
      <c r="BP382" s="3">
        <f t="shared" si="34"/>
        <v>0.99533675500157115</v>
      </c>
      <c r="BQ382" s="3">
        <f t="shared" si="35"/>
        <v>1.0138513467032446</v>
      </c>
    </row>
    <row r="383" spans="1:69" hidden="1" x14ac:dyDescent="0.35">
      <c r="A383">
        <v>381</v>
      </c>
      <c r="B383">
        <v>4543</v>
      </c>
      <c r="D383">
        <v>12</v>
      </c>
      <c r="E383">
        <v>1</v>
      </c>
      <c r="G383">
        <v>19949.900000000001</v>
      </c>
      <c r="I383" t="s">
        <v>62</v>
      </c>
      <c r="L383" t="s">
        <v>183</v>
      </c>
      <c r="M383">
        <v>9.6199999999999992</v>
      </c>
      <c r="N383">
        <v>47.87</v>
      </c>
      <c r="O383">
        <v>9.25</v>
      </c>
      <c r="P383" s="3">
        <f t="shared" si="30"/>
        <v>0.96153846153846156</v>
      </c>
      <c r="Q383">
        <v>38.94</v>
      </c>
      <c r="R383" s="3">
        <f t="shared" si="31"/>
        <v>0.81345310215166078</v>
      </c>
      <c r="S383">
        <v>360</v>
      </c>
      <c r="T383">
        <v>9.5830000000000002</v>
      </c>
      <c r="U383">
        <v>47.46</v>
      </c>
      <c r="V383">
        <v>9.1609999999999996</v>
      </c>
      <c r="W383" s="3">
        <f t="shared" si="32"/>
        <v>0.95596368569341539</v>
      </c>
      <c r="X383">
        <v>39.18</v>
      </c>
      <c r="Y383" s="3">
        <f t="shared" si="33"/>
        <v>0.82553729456384317</v>
      </c>
      <c r="Z383">
        <v>358.9</v>
      </c>
      <c r="AA383">
        <v>78.900000000000006</v>
      </c>
      <c r="AB383">
        <v>25</v>
      </c>
      <c r="AC383" t="s">
        <v>64</v>
      </c>
      <c r="AE383" t="s">
        <v>65</v>
      </c>
      <c r="AF383" t="s">
        <v>66</v>
      </c>
      <c r="AG383" t="s">
        <v>1374</v>
      </c>
      <c r="AH383" s="1">
        <v>0.3807638888888889</v>
      </c>
      <c r="AI383" t="s">
        <v>68</v>
      </c>
      <c r="AJ383" t="s">
        <v>69</v>
      </c>
      <c r="AO383">
        <v>7.6980000000000004</v>
      </c>
      <c r="AP383">
        <v>49.347999999999999</v>
      </c>
      <c r="AQ383">
        <v>12.8</v>
      </c>
      <c r="AR383">
        <v>1.925</v>
      </c>
      <c r="AS383">
        <v>44.881999999999998</v>
      </c>
      <c r="AT383">
        <v>51.21</v>
      </c>
      <c r="AY383">
        <v>2.69</v>
      </c>
      <c r="AZ383" t="s">
        <v>1375</v>
      </c>
      <c r="BB383" t="s">
        <v>1375</v>
      </c>
      <c r="BD383" t="s">
        <v>68</v>
      </c>
      <c r="BE383" t="s">
        <v>1672</v>
      </c>
      <c r="BF383" t="s">
        <v>1673</v>
      </c>
      <c r="BG383" t="s">
        <v>1674</v>
      </c>
      <c r="BH383">
        <v>0</v>
      </c>
      <c r="BI383">
        <v>0</v>
      </c>
      <c r="BJ383">
        <v>1</v>
      </c>
      <c r="BK383" t="s">
        <v>1675</v>
      </c>
      <c r="BL383">
        <v>8.8620000000000001</v>
      </c>
      <c r="BM383">
        <v>8.8620000000000001</v>
      </c>
      <c r="BN383" t="s">
        <v>1374</v>
      </c>
      <c r="BO383" s="1">
        <v>0.3807638888888889</v>
      </c>
      <c r="BP383" s="3">
        <f t="shared" si="34"/>
        <v>0.99420223312115197</v>
      </c>
      <c r="BQ383" s="3">
        <f t="shared" si="35"/>
        <v>1.0148554260598657</v>
      </c>
    </row>
    <row r="384" spans="1:69" hidden="1" x14ac:dyDescent="0.35">
      <c r="A384">
        <v>382</v>
      </c>
      <c r="B384">
        <v>4544</v>
      </c>
      <c r="D384">
        <v>12</v>
      </c>
      <c r="E384">
        <v>1</v>
      </c>
      <c r="G384">
        <v>19949.900000000001</v>
      </c>
      <c r="I384" t="s">
        <v>62</v>
      </c>
      <c r="L384" t="s">
        <v>183</v>
      </c>
      <c r="M384">
        <v>9.6199999999999992</v>
      </c>
      <c r="N384">
        <v>47.87</v>
      </c>
      <c r="O384">
        <v>9.25</v>
      </c>
      <c r="P384" s="3">
        <f t="shared" si="30"/>
        <v>0.96153846153846156</v>
      </c>
      <c r="Q384">
        <v>38.94</v>
      </c>
      <c r="R384" s="3">
        <f t="shared" si="31"/>
        <v>0.81345310215166078</v>
      </c>
      <c r="S384">
        <v>360</v>
      </c>
      <c r="T384">
        <v>9.5559999999999992</v>
      </c>
      <c r="U384">
        <v>47.39</v>
      </c>
      <c r="V384">
        <v>9.1430000000000007</v>
      </c>
      <c r="W384" s="3">
        <f t="shared" si="32"/>
        <v>0.95678107994976991</v>
      </c>
      <c r="X384">
        <v>39.090000000000003</v>
      </c>
      <c r="Y384" s="3">
        <f t="shared" si="33"/>
        <v>0.82485756488710704</v>
      </c>
      <c r="Z384">
        <v>357.4</v>
      </c>
      <c r="AA384">
        <v>78.900000000000006</v>
      </c>
      <c r="AB384">
        <v>24.9</v>
      </c>
      <c r="AC384" t="s">
        <v>64</v>
      </c>
      <c r="AE384" t="s">
        <v>65</v>
      </c>
      <c r="AF384" t="s">
        <v>66</v>
      </c>
      <c r="AG384" t="s">
        <v>1374</v>
      </c>
      <c r="AH384" s="1">
        <v>0.38233796296296296</v>
      </c>
      <c r="AI384" t="s">
        <v>68</v>
      </c>
      <c r="AJ384" t="s">
        <v>69</v>
      </c>
      <c r="AO384">
        <v>7.6980000000000004</v>
      </c>
      <c r="AP384">
        <v>49.347999999999999</v>
      </c>
      <c r="AQ384">
        <v>12.8</v>
      </c>
      <c r="AR384">
        <v>1.925</v>
      </c>
      <c r="AS384">
        <v>44.881999999999998</v>
      </c>
      <c r="AT384">
        <v>51.2</v>
      </c>
      <c r="AY384">
        <v>2.69</v>
      </c>
      <c r="AZ384" t="s">
        <v>1375</v>
      </c>
      <c r="BB384" t="s">
        <v>1375</v>
      </c>
      <c r="BD384" t="s">
        <v>68</v>
      </c>
      <c r="BE384" t="s">
        <v>1676</v>
      </c>
      <c r="BF384" t="s">
        <v>1677</v>
      </c>
      <c r="BG384" t="s">
        <v>1678</v>
      </c>
      <c r="BH384">
        <v>0</v>
      </c>
      <c r="BI384">
        <v>0</v>
      </c>
      <c r="BJ384">
        <v>1</v>
      </c>
      <c r="BK384" t="s">
        <v>1679</v>
      </c>
      <c r="BL384">
        <v>8.8620000000000001</v>
      </c>
      <c r="BM384">
        <v>8.8620000000000001</v>
      </c>
      <c r="BN384" t="s">
        <v>1374</v>
      </c>
      <c r="BO384" s="1">
        <v>0.38233796296296296</v>
      </c>
      <c r="BP384" s="3">
        <f t="shared" si="34"/>
        <v>0.99505232314776071</v>
      </c>
      <c r="BQ384" s="3">
        <f t="shared" si="35"/>
        <v>1.0140198158999951</v>
      </c>
    </row>
    <row r="385" spans="1:69" hidden="1" x14ac:dyDescent="0.35">
      <c r="A385">
        <v>383</v>
      </c>
      <c r="B385">
        <v>4545</v>
      </c>
      <c r="D385">
        <v>12</v>
      </c>
      <c r="E385">
        <v>1</v>
      </c>
      <c r="G385">
        <v>19949.900000000001</v>
      </c>
      <c r="I385" t="s">
        <v>62</v>
      </c>
      <c r="L385" t="s">
        <v>183</v>
      </c>
      <c r="M385">
        <v>9.6199999999999992</v>
      </c>
      <c r="N385">
        <v>47.87</v>
      </c>
      <c r="O385">
        <v>9.25</v>
      </c>
      <c r="P385" s="3">
        <f t="shared" si="30"/>
        <v>0.96153846153846156</v>
      </c>
      <c r="Q385">
        <v>38.94</v>
      </c>
      <c r="R385" s="3">
        <f t="shared" si="31"/>
        <v>0.81345310215166078</v>
      </c>
      <c r="S385">
        <v>360</v>
      </c>
      <c r="T385">
        <v>9.5559999999999992</v>
      </c>
      <c r="U385">
        <v>47.37</v>
      </c>
      <c r="V385">
        <v>9.1579999999999995</v>
      </c>
      <c r="W385" s="3">
        <f t="shared" si="32"/>
        <v>0.95835077438258687</v>
      </c>
      <c r="X385">
        <v>39.06</v>
      </c>
      <c r="Y385" s="3">
        <f t="shared" si="33"/>
        <v>0.82457251424952516</v>
      </c>
      <c r="Z385">
        <v>357.7</v>
      </c>
      <c r="AA385">
        <v>79</v>
      </c>
      <c r="AB385">
        <v>25</v>
      </c>
      <c r="AC385" t="s">
        <v>64</v>
      </c>
      <c r="AE385" t="s">
        <v>65</v>
      </c>
      <c r="AF385" t="s">
        <v>66</v>
      </c>
      <c r="AG385" t="s">
        <v>1374</v>
      </c>
      <c r="AH385" s="1">
        <v>0.38332175925925926</v>
      </c>
      <c r="AI385" t="s">
        <v>68</v>
      </c>
      <c r="AJ385" t="s">
        <v>69</v>
      </c>
      <c r="AO385">
        <v>7.6980000000000004</v>
      </c>
      <c r="AP385">
        <v>49.347999999999999</v>
      </c>
      <c r="AQ385">
        <v>12.8</v>
      </c>
      <c r="AR385">
        <v>1.925</v>
      </c>
      <c r="AS385">
        <v>44.881999999999998</v>
      </c>
      <c r="AT385">
        <v>51.2</v>
      </c>
      <c r="AY385">
        <v>2.69</v>
      </c>
      <c r="AZ385" t="s">
        <v>1375</v>
      </c>
      <c r="BB385" t="s">
        <v>1375</v>
      </c>
      <c r="BD385" t="s">
        <v>68</v>
      </c>
      <c r="BE385" t="s">
        <v>1680</v>
      </c>
      <c r="BF385" t="s">
        <v>1681</v>
      </c>
      <c r="BG385" t="s">
        <v>1682</v>
      </c>
      <c r="BH385">
        <v>0</v>
      </c>
      <c r="BI385">
        <v>0</v>
      </c>
      <c r="BJ385">
        <v>1</v>
      </c>
      <c r="BK385" t="s">
        <v>1683</v>
      </c>
      <c r="BL385">
        <v>8.8620000000000001</v>
      </c>
      <c r="BM385">
        <v>8.8620000000000001</v>
      </c>
      <c r="BN385" t="s">
        <v>1374</v>
      </c>
      <c r="BO385" s="1">
        <v>0.38332175925925926</v>
      </c>
      <c r="BP385" s="3">
        <f t="shared" si="34"/>
        <v>0.99668480535789028</v>
      </c>
      <c r="BQ385" s="3">
        <f t="shared" si="35"/>
        <v>1.0136693954063885</v>
      </c>
    </row>
    <row r="386" spans="1:69" hidden="1" x14ac:dyDescent="0.35">
      <c r="A386">
        <v>384</v>
      </c>
      <c r="B386">
        <v>4534</v>
      </c>
      <c r="D386">
        <v>12</v>
      </c>
      <c r="E386">
        <v>1</v>
      </c>
      <c r="G386">
        <v>19949.900000000001</v>
      </c>
      <c r="I386" t="s">
        <v>62</v>
      </c>
      <c r="L386" t="s">
        <v>183</v>
      </c>
      <c r="M386">
        <v>9.6199999999999992</v>
      </c>
      <c r="N386">
        <v>47.87</v>
      </c>
      <c r="O386">
        <v>9.25</v>
      </c>
      <c r="P386" s="3">
        <f t="shared" si="30"/>
        <v>0.96153846153846156</v>
      </c>
      <c r="Q386">
        <v>38.94</v>
      </c>
      <c r="R386" s="3">
        <f t="shared" si="31"/>
        <v>0.81345310215166078</v>
      </c>
      <c r="S386">
        <v>360</v>
      </c>
      <c r="T386">
        <v>9.6150000000000002</v>
      </c>
      <c r="U386">
        <v>47.45</v>
      </c>
      <c r="V386">
        <v>9.1880000000000006</v>
      </c>
      <c r="W386" s="3">
        <f t="shared" si="32"/>
        <v>0.95559022360894441</v>
      </c>
      <c r="X386">
        <v>39.01</v>
      </c>
      <c r="Y386" s="3">
        <f t="shared" si="33"/>
        <v>0.8221285563751316</v>
      </c>
      <c r="Z386">
        <v>358.5</v>
      </c>
      <c r="AA386">
        <v>78.599999999999994</v>
      </c>
      <c r="AB386">
        <v>25.2</v>
      </c>
      <c r="AC386" t="s">
        <v>64</v>
      </c>
      <c r="AE386" t="s">
        <v>65</v>
      </c>
      <c r="AF386" t="s">
        <v>66</v>
      </c>
      <c r="AG386" s="2">
        <v>44107</v>
      </c>
      <c r="AH386" s="1">
        <v>0.62130787037037039</v>
      </c>
      <c r="AI386" t="s">
        <v>68</v>
      </c>
      <c r="AJ386" t="s">
        <v>69</v>
      </c>
      <c r="AO386">
        <v>7.6980000000000004</v>
      </c>
      <c r="AP386">
        <v>49.686</v>
      </c>
      <c r="AQ386">
        <v>12.8</v>
      </c>
      <c r="AR386">
        <v>1.925</v>
      </c>
      <c r="AS386">
        <v>45.031999999999996</v>
      </c>
      <c r="AT386">
        <v>51.2</v>
      </c>
      <c r="AY386">
        <v>2.69</v>
      </c>
      <c r="AZ386" s="2">
        <v>44138</v>
      </c>
      <c r="BB386" s="2">
        <v>44138</v>
      </c>
      <c r="BD386" t="s">
        <v>68</v>
      </c>
      <c r="BE386" t="s">
        <v>1684</v>
      </c>
      <c r="BF386" t="s">
        <v>1685</v>
      </c>
      <c r="BG386" t="s">
        <v>1686</v>
      </c>
      <c r="BH386">
        <v>0</v>
      </c>
      <c r="BI386">
        <v>1</v>
      </c>
      <c r="BJ386">
        <v>2</v>
      </c>
      <c r="BK386" t="s">
        <v>1687</v>
      </c>
      <c r="BL386">
        <v>8.8620000000000001</v>
      </c>
      <c r="BM386">
        <v>8.8620000000000001</v>
      </c>
      <c r="BN386" s="2">
        <v>44107</v>
      </c>
      <c r="BO386" s="1">
        <v>0.62130787037037039</v>
      </c>
      <c r="BP386" s="3">
        <f t="shared" si="34"/>
        <v>0.99381383255330213</v>
      </c>
      <c r="BQ386" s="3">
        <f t="shared" si="35"/>
        <v>1.0106649715890486</v>
      </c>
    </row>
    <row r="387" spans="1:69" hidden="1" x14ac:dyDescent="0.35">
      <c r="A387">
        <v>385</v>
      </c>
      <c r="B387">
        <v>4534</v>
      </c>
      <c r="D387">
        <v>12</v>
      </c>
      <c r="E387">
        <v>1</v>
      </c>
      <c r="G387">
        <v>19949.900000000001</v>
      </c>
      <c r="I387" t="s">
        <v>62</v>
      </c>
      <c r="L387" t="s">
        <v>1369</v>
      </c>
      <c r="M387">
        <v>9.6199999999999992</v>
      </c>
      <c r="N387">
        <v>47.87</v>
      </c>
      <c r="O387">
        <v>9.25</v>
      </c>
      <c r="P387" s="3">
        <f t="shared" ref="P387:P450" si="36">O387/M387</f>
        <v>0.96153846153846156</v>
      </c>
      <c r="Q387">
        <v>38.94</v>
      </c>
      <c r="R387" s="3">
        <f t="shared" ref="R387:R450" si="37">Q387/N387</f>
        <v>0.81345310215166078</v>
      </c>
      <c r="S387">
        <v>360</v>
      </c>
      <c r="T387">
        <v>9.5359999999999996</v>
      </c>
      <c r="U387">
        <v>47.13</v>
      </c>
      <c r="V387">
        <v>9.1199999999999992</v>
      </c>
      <c r="W387" s="3">
        <f t="shared" ref="W387:W450" si="38">V387/T387</f>
        <v>0.9563758389261745</v>
      </c>
      <c r="X387">
        <v>38.61</v>
      </c>
      <c r="Y387" s="3">
        <f t="shared" ref="Y387:Y450" si="39">X387/U387</f>
        <v>0.81922342457033726</v>
      </c>
      <c r="Z387">
        <v>352.1</v>
      </c>
      <c r="AA387">
        <v>78.3</v>
      </c>
      <c r="AB387">
        <v>25.1</v>
      </c>
      <c r="AC387" t="s">
        <v>64</v>
      </c>
      <c r="AE387" t="s">
        <v>65</v>
      </c>
      <c r="AF387" t="s">
        <v>66</v>
      </c>
      <c r="AG387" s="2">
        <v>44229</v>
      </c>
      <c r="AH387" s="1">
        <v>0.41849537037037038</v>
      </c>
      <c r="AI387" t="s">
        <v>68</v>
      </c>
      <c r="AJ387" t="s">
        <v>69</v>
      </c>
      <c r="AO387">
        <v>7.6379999999999999</v>
      </c>
      <c r="AP387">
        <v>48.447000000000003</v>
      </c>
      <c r="AQ387">
        <v>12.8</v>
      </c>
      <c r="AR387">
        <v>1.91</v>
      </c>
      <c r="AS387">
        <v>43.944000000000003</v>
      </c>
      <c r="AT387">
        <v>51.2</v>
      </c>
      <c r="AY387">
        <v>2.76</v>
      </c>
      <c r="AZ387" s="2">
        <v>44410</v>
      </c>
      <c r="BB387" s="2">
        <v>44410</v>
      </c>
      <c r="BD387" t="s">
        <v>68</v>
      </c>
      <c r="BE387" t="s">
        <v>1688</v>
      </c>
      <c r="BF387" t="s">
        <v>1689</v>
      </c>
      <c r="BG387" t="s">
        <v>1690</v>
      </c>
      <c r="BH387">
        <v>0</v>
      </c>
      <c r="BI387">
        <v>0</v>
      </c>
      <c r="BJ387">
        <v>2</v>
      </c>
      <c r="BK387" t="s">
        <v>1691</v>
      </c>
      <c r="BL387">
        <v>8.8620000000000001</v>
      </c>
      <c r="BM387">
        <v>8.8620000000000001</v>
      </c>
      <c r="BN387" s="2">
        <v>44107</v>
      </c>
      <c r="BO387" s="1">
        <v>0.62130787037037039</v>
      </c>
      <c r="BP387" s="3">
        <f t="shared" ref="BP387:BP450" si="40">W387/P387</f>
        <v>0.99463087248322146</v>
      </c>
      <c r="BQ387" s="3">
        <f t="shared" ref="BQ387:BQ450" si="41">Y387/R387</f>
        <v>1.0070936141289688</v>
      </c>
    </row>
    <row r="388" spans="1:69" hidden="1" x14ac:dyDescent="0.35">
      <c r="A388">
        <v>386</v>
      </c>
      <c r="B388">
        <v>4520</v>
      </c>
      <c r="D388">
        <v>12</v>
      </c>
      <c r="E388">
        <v>1</v>
      </c>
      <c r="G388">
        <v>19949.900000000001</v>
      </c>
      <c r="I388" t="s">
        <v>62</v>
      </c>
      <c r="L388" t="s">
        <v>183</v>
      </c>
      <c r="M388">
        <v>9.6199999999999992</v>
      </c>
      <c r="N388">
        <v>47.87</v>
      </c>
      <c r="O388">
        <v>9.25</v>
      </c>
      <c r="P388" s="3">
        <f t="shared" si="36"/>
        <v>0.96153846153846156</v>
      </c>
      <c r="Q388">
        <v>38.94</v>
      </c>
      <c r="R388" s="3">
        <f t="shared" si="37"/>
        <v>0.81345310215166078</v>
      </c>
      <c r="S388">
        <v>360</v>
      </c>
      <c r="T388">
        <v>9.6189999999999998</v>
      </c>
      <c r="U388">
        <v>47.38</v>
      </c>
      <c r="V388">
        <v>9.2110000000000003</v>
      </c>
      <c r="W388" s="3">
        <f t="shared" si="38"/>
        <v>0.9575839484353883</v>
      </c>
      <c r="X388">
        <v>39</v>
      </c>
      <c r="Y388" s="3">
        <f t="shared" si="39"/>
        <v>0.82313212325875895</v>
      </c>
      <c r="Z388">
        <v>359.2</v>
      </c>
      <c r="AA388">
        <v>78.8</v>
      </c>
      <c r="AB388">
        <v>24.6</v>
      </c>
      <c r="AC388" t="s">
        <v>64</v>
      </c>
      <c r="AE388" t="s">
        <v>65</v>
      </c>
      <c r="AF388" t="s">
        <v>66</v>
      </c>
      <c r="AG388" s="2">
        <v>44107</v>
      </c>
      <c r="AH388" s="1">
        <v>0.5917824074074074</v>
      </c>
      <c r="AI388" t="s">
        <v>68</v>
      </c>
      <c r="AJ388" t="s">
        <v>69</v>
      </c>
      <c r="AO388">
        <v>7.6980000000000004</v>
      </c>
      <c r="AP388">
        <v>49.610999999999997</v>
      </c>
      <c r="AQ388">
        <v>12.8</v>
      </c>
      <c r="AR388">
        <v>1.925</v>
      </c>
      <c r="AS388">
        <v>45.994999999999997</v>
      </c>
      <c r="AT388">
        <v>51.2</v>
      </c>
      <c r="AY388">
        <v>2.69</v>
      </c>
      <c r="AZ388" s="2">
        <v>44138</v>
      </c>
      <c r="BB388" s="2">
        <v>44138</v>
      </c>
      <c r="BD388" t="s">
        <v>68</v>
      </c>
      <c r="BE388" t="s">
        <v>1692</v>
      </c>
      <c r="BF388" t="s">
        <v>1693</v>
      </c>
      <c r="BG388" t="s">
        <v>1694</v>
      </c>
      <c r="BH388">
        <v>0</v>
      </c>
      <c r="BI388">
        <v>0</v>
      </c>
      <c r="BJ388">
        <v>1</v>
      </c>
      <c r="BK388" t="s">
        <v>1695</v>
      </c>
      <c r="BL388">
        <v>8.8620000000000001</v>
      </c>
      <c r="BM388">
        <v>8.8620000000000001</v>
      </c>
      <c r="BN388" s="2">
        <v>44107</v>
      </c>
      <c r="BO388" s="1">
        <v>0.5917824074074074</v>
      </c>
      <c r="BP388" s="3">
        <f t="shared" si="40"/>
        <v>0.99588730637280376</v>
      </c>
      <c r="BQ388" s="3">
        <f t="shared" si="41"/>
        <v>1.0118986836260089</v>
      </c>
    </row>
    <row r="389" spans="1:69" hidden="1" x14ac:dyDescent="0.35">
      <c r="A389">
        <v>387</v>
      </c>
      <c r="B389">
        <v>4537</v>
      </c>
      <c r="D389">
        <v>12</v>
      </c>
      <c r="E389">
        <v>1</v>
      </c>
      <c r="G389">
        <v>19949.900000000001</v>
      </c>
      <c r="I389" t="s">
        <v>62</v>
      </c>
      <c r="L389" t="s">
        <v>183</v>
      </c>
      <c r="M389">
        <v>9.6199999999999992</v>
      </c>
      <c r="N389">
        <v>47.87</v>
      </c>
      <c r="O389">
        <v>9.25</v>
      </c>
      <c r="P389" s="3">
        <f t="shared" si="36"/>
        <v>0.96153846153846156</v>
      </c>
      <c r="Q389">
        <v>38.94</v>
      </c>
      <c r="R389" s="3">
        <f t="shared" si="37"/>
        <v>0.81345310215166078</v>
      </c>
      <c r="S389">
        <v>360</v>
      </c>
      <c r="T389">
        <v>9.6319999999999997</v>
      </c>
      <c r="U389">
        <v>47.33</v>
      </c>
      <c r="V389">
        <v>9.2029999999999994</v>
      </c>
      <c r="W389" s="3">
        <f t="shared" si="38"/>
        <v>0.95546096345514953</v>
      </c>
      <c r="X389">
        <v>38.979999999999997</v>
      </c>
      <c r="Y389" s="3">
        <f t="shared" si="39"/>
        <v>0.82357912529051336</v>
      </c>
      <c r="Z389">
        <v>358.7</v>
      </c>
      <c r="AA389">
        <v>78.7</v>
      </c>
      <c r="AB389">
        <v>25.2</v>
      </c>
      <c r="AC389" t="s">
        <v>64</v>
      </c>
      <c r="AE389" t="s">
        <v>65</v>
      </c>
      <c r="AF389" t="s">
        <v>66</v>
      </c>
      <c r="AG389" s="2">
        <v>44107</v>
      </c>
      <c r="AH389" s="1">
        <v>0.6262268518518519</v>
      </c>
      <c r="AI389" t="s">
        <v>68</v>
      </c>
      <c r="AJ389" t="s">
        <v>69</v>
      </c>
      <c r="AO389">
        <v>7.6980000000000004</v>
      </c>
      <c r="AP389">
        <v>49.536000000000001</v>
      </c>
      <c r="AQ389">
        <v>12.8</v>
      </c>
      <c r="AR389">
        <v>1.92</v>
      </c>
      <c r="AS389">
        <v>44.957000000000001</v>
      </c>
      <c r="AT389">
        <v>51.2</v>
      </c>
      <c r="AY389">
        <v>2.69</v>
      </c>
      <c r="AZ389" s="2">
        <v>44138</v>
      </c>
      <c r="BB389" s="2">
        <v>44138</v>
      </c>
      <c r="BD389" t="s">
        <v>68</v>
      </c>
      <c r="BE389" t="s">
        <v>1696</v>
      </c>
      <c r="BF389" t="s">
        <v>1697</v>
      </c>
      <c r="BG389" t="s">
        <v>1698</v>
      </c>
      <c r="BH389">
        <v>0</v>
      </c>
      <c r="BI389">
        <v>0</v>
      </c>
      <c r="BJ389">
        <v>1</v>
      </c>
      <c r="BK389" t="s">
        <v>1699</v>
      </c>
      <c r="BL389">
        <v>8.8620000000000001</v>
      </c>
      <c r="BM389">
        <v>8.8620000000000001</v>
      </c>
      <c r="BN389" s="2">
        <v>44107</v>
      </c>
      <c r="BO389" s="1">
        <v>0.6262268518518519</v>
      </c>
      <c r="BP389" s="3">
        <f t="shared" si="40"/>
        <v>0.99367940199335547</v>
      </c>
      <c r="BQ389" s="3">
        <f t="shared" si="41"/>
        <v>1.0124481953686921</v>
      </c>
    </row>
    <row r="390" spans="1:69" hidden="1" x14ac:dyDescent="0.35">
      <c r="A390">
        <v>388</v>
      </c>
      <c r="B390">
        <v>4553</v>
      </c>
      <c r="D390">
        <v>12</v>
      </c>
      <c r="E390">
        <v>1</v>
      </c>
      <c r="G390">
        <v>19949.900000000001</v>
      </c>
      <c r="I390" t="s">
        <v>62</v>
      </c>
      <c r="L390" t="s">
        <v>183</v>
      </c>
      <c r="M390">
        <v>9.6199999999999992</v>
      </c>
      <c r="N390">
        <v>47.87</v>
      </c>
      <c r="O390">
        <v>9.25</v>
      </c>
      <c r="P390" s="3">
        <f t="shared" si="36"/>
        <v>0.96153846153846156</v>
      </c>
      <c r="Q390">
        <v>38.94</v>
      </c>
      <c r="R390" s="3">
        <f t="shared" si="37"/>
        <v>0.81345310215166078</v>
      </c>
      <c r="S390">
        <v>360</v>
      </c>
      <c r="T390">
        <v>9.5630000000000006</v>
      </c>
      <c r="U390">
        <v>47.37</v>
      </c>
      <c r="V390">
        <v>9.141</v>
      </c>
      <c r="W390" s="3">
        <f t="shared" si="38"/>
        <v>0.9558715884136777</v>
      </c>
      <c r="X390">
        <v>39.01</v>
      </c>
      <c r="Y390" s="3">
        <f t="shared" si="39"/>
        <v>0.82351699387798183</v>
      </c>
      <c r="Z390">
        <v>356.6</v>
      </c>
      <c r="AA390">
        <v>78.7</v>
      </c>
      <c r="AB390">
        <v>25</v>
      </c>
      <c r="AC390" t="s">
        <v>64</v>
      </c>
      <c r="AE390" t="s">
        <v>65</v>
      </c>
      <c r="AF390" t="s">
        <v>66</v>
      </c>
      <c r="AG390" t="s">
        <v>1374</v>
      </c>
      <c r="AH390" s="1">
        <v>0.39484953703703701</v>
      </c>
      <c r="AI390" t="s">
        <v>68</v>
      </c>
      <c r="AJ390" t="s">
        <v>69</v>
      </c>
      <c r="AO390">
        <v>7.6980000000000004</v>
      </c>
      <c r="AP390">
        <v>49.423000000000002</v>
      </c>
      <c r="AQ390">
        <v>12.8</v>
      </c>
      <c r="AR390">
        <v>1.92</v>
      </c>
      <c r="AS390">
        <v>44.807000000000002</v>
      </c>
      <c r="AT390">
        <v>51.2</v>
      </c>
      <c r="AY390">
        <v>2.69</v>
      </c>
      <c r="AZ390" t="s">
        <v>1375</v>
      </c>
      <c r="BB390" t="s">
        <v>1375</v>
      </c>
      <c r="BD390" t="s">
        <v>68</v>
      </c>
      <c r="BE390" t="s">
        <v>1700</v>
      </c>
      <c r="BF390" t="s">
        <v>1701</v>
      </c>
      <c r="BG390" t="s">
        <v>1702</v>
      </c>
      <c r="BH390">
        <v>0</v>
      </c>
      <c r="BI390">
        <v>0</v>
      </c>
      <c r="BJ390">
        <v>1</v>
      </c>
      <c r="BK390" t="s">
        <v>1703</v>
      </c>
      <c r="BL390">
        <v>8.8620000000000001</v>
      </c>
      <c r="BM390">
        <v>8.8620000000000001</v>
      </c>
      <c r="BN390" t="s">
        <v>1374</v>
      </c>
      <c r="BO390" s="1">
        <v>0.39484953703703701</v>
      </c>
      <c r="BP390" s="3">
        <f t="shared" si="40"/>
        <v>0.99410645195022473</v>
      </c>
      <c r="BQ390" s="3">
        <f t="shared" si="41"/>
        <v>1.0123718155351564</v>
      </c>
    </row>
    <row r="391" spans="1:69" hidden="1" x14ac:dyDescent="0.35">
      <c r="A391">
        <v>389</v>
      </c>
      <c r="B391">
        <v>4532</v>
      </c>
      <c r="D391">
        <v>12</v>
      </c>
      <c r="E391">
        <v>1</v>
      </c>
      <c r="G391">
        <v>19949.900000000001</v>
      </c>
      <c r="I391" t="s">
        <v>62</v>
      </c>
      <c r="L391" t="s">
        <v>183</v>
      </c>
      <c r="M391">
        <v>9.6199999999999992</v>
      </c>
      <c r="N391">
        <v>47.87</v>
      </c>
      <c r="O391">
        <v>9.25</v>
      </c>
      <c r="P391" s="3">
        <f t="shared" si="36"/>
        <v>0.96153846153846156</v>
      </c>
      <c r="Q391">
        <v>38.94</v>
      </c>
      <c r="R391" s="3">
        <f t="shared" si="37"/>
        <v>0.81345310215166078</v>
      </c>
      <c r="S391">
        <v>360</v>
      </c>
      <c r="T391">
        <v>9.6180000000000003</v>
      </c>
      <c r="U391">
        <v>47.47</v>
      </c>
      <c r="V391">
        <v>9.2059999999999995</v>
      </c>
      <c r="W391" s="3">
        <f t="shared" si="38"/>
        <v>0.9571636514867955</v>
      </c>
      <c r="X391">
        <v>39.06</v>
      </c>
      <c r="Y391" s="3">
        <f t="shared" si="39"/>
        <v>0.82283547503686549</v>
      </c>
      <c r="Z391">
        <v>359.6</v>
      </c>
      <c r="AA391">
        <v>78.8</v>
      </c>
      <c r="AB391">
        <v>24.9</v>
      </c>
      <c r="AC391" t="s">
        <v>64</v>
      </c>
      <c r="AE391" t="s">
        <v>65</v>
      </c>
      <c r="AF391" t="s">
        <v>66</v>
      </c>
      <c r="AG391" s="2">
        <v>44107</v>
      </c>
      <c r="AH391" s="1">
        <v>0.61519675925925921</v>
      </c>
      <c r="AI391" t="s">
        <v>68</v>
      </c>
      <c r="AJ391" t="s">
        <v>69</v>
      </c>
      <c r="AO391">
        <v>7.6980000000000004</v>
      </c>
      <c r="AP391">
        <v>49.686</v>
      </c>
      <c r="AQ391">
        <v>12.8</v>
      </c>
      <c r="AR391">
        <v>1.92</v>
      </c>
      <c r="AS391">
        <v>45.106999999999999</v>
      </c>
      <c r="AT391">
        <v>51.2</v>
      </c>
      <c r="AY391">
        <v>2.69</v>
      </c>
      <c r="AZ391" s="2">
        <v>44138</v>
      </c>
      <c r="BB391" s="2">
        <v>44138</v>
      </c>
      <c r="BD391" t="s">
        <v>68</v>
      </c>
      <c r="BE391" t="s">
        <v>1704</v>
      </c>
      <c r="BF391" t="s">
        <v>1705</v>
      </c>
      <c r="BG391" t="s">
        <v>1706</v>
      </c>
      <c r="BH391">
        <v>0</v>
      </c>
      <c r="BI391">
        <v>0</v>
      </c>
      <c r="BJ391">
        <v>1</v>
      </c>
      <c r="BK391" t="s">
        <v>1707</v>
      </c>
      <c r="BL391">
        <v>8.8620000000000001</v>
      </c>
      <c r="BM391">
        <v>8.8620000000000001</v>
      </c>
      <c r="BN391" s="2">
        <v>44107</v>
      </c>
      <c r="BO391" s="1">
        <v>0.61519675925925921</v>
      </c>
      <c r="BP391" s="3">
        <f t="shared" si="40"/>
        <v>0.99545019754626729</v>
      </c>
      <c r="BQ391" s="3">
        <f t="shared" si="41"/>
        <v>1.0115340059069016</v>
      </c>
    </row>
    <row r="392" spans="1:69" hidden="1" x14ac:dyDescent="0.35">
      <c r="A392">
        <v>390</v>
      </c>
      <c r="B392">
        <v>4528</v>
      </c>
      <c r="D392">
        <v>12</v>
      </c>
      <c r="E392">
        <v>1</v>
      </c>
      <c r="G392">
        <v>19949.900000000001</v>
      </c>
      <c r="I392" t="s">
        <v>62</v>
      </c>
      <c r="L392" t="s">
        <v>183</v>
      </c>
      <c r="M392">
        <v>9.6199999999999992</v>
      </c>
      <c r="N392">
        <v>47.87</v>
      </c>
      <c r="O392">
        <v>9.25</v>
      </c>
      <c r="P392" s="3">
        <f t="shared" si="36"/>
        <v>0.96153846153846156</v>
      </c>
      <c r="Q392">
        <v>38.94</v>
      </c>
      <c r="R392" s="3">
        <f t="shared" si="37"/>
        <v>0.81345310215166078</v>
      </c>
      <c r="S392">
        <v>360</v>
      </c>
      <c r="T392">
        <v>9.61</v>
      </c>
      <c r="U392">
        <v>47.4</v>
      </c>
      <c r="V392">
        <v>9.1999999999999993</v>
      </c>
      <c r="W392" s="3">
        <f t="shared" si="38"/>
        <v>0.95733610822060355</v>
      </c>
      <c r="X392">
        <v>38.950000000000003</v>
      </c>
      <c r="Y392" s="3">
        <f t="shared" si="39"/>
        <v>0.8217299578059073</v>
      </c>
      <c r="Z392">
        <v>358.3</v>
      </c>
      <c r="AA392">
        <v>78.7</v>
      </c>
      <c r="AB392">
        <v>25.3</v>
      </c>
      <c r="AC392" t="s">
        <v>64</v>
      </c>
      <c r="AE392" t="s">
        <v>65</v>
      </c>
      <c r="AF392" t="s">
        <v>66</v>
      </c>
      <c r="AG392" s="2">
        <v>44107</v>
      </c>
      <c r="AH392" s="1">
        <v>0.60954861111111114</v>
      </c>
      <c r="AI392" t="s">
        <v>68</v>
      </c>
      <c r="AJ392" t="s">
        <v>69</v>
      </c>
      <c r="AO392">
        <v>7.6980000000000004</v>
      </c>
      <c r="AP392">
        <v>49.497999999999998</v>
      </c>
      <c r="AQ392">
        <v>12.8</v>
      </c>
      <c r="AR392">
        <v>1.92</v>
      </c>
      <c r="AS392">
        <v>44.957000000000001</v>
      </c>
      <c r="AT392">
        <v>51.2</v>
      </c>
      <c r="AY392">
        <v>2.69</v>
      </c>
      <c r="AZ392" s="2">
        <v>44138</v>
      </c>
      <c r="BB392" s="2">
        <v>44138</v>
      </c>
      <c r="BD392" t="s">
        <v>68</v>
      </c>
      <c r="BE392" t="s">
        <v>1708</v>
      </c>
      <c r="BF392" t="s">
        <v>1709</v>
      </c>
      <c r="BG392" t="s">
        <v>1710</v>
      </c>
      <c r="BH392">
        <v>0</v>
      </c>
      <c r="BI392">
        <v>0</v>
      </c>
      <c r="BJ392">
        <v>1</v>
      </c>
      <c r="BK392" t="s">
        <v>1711</v>
      </c>
      <c r="BL392">
        <v>8.8620000000000001</v>
      </c>
      <c r="BM392">
        <v>8.8620000000000001</v>
      </c>
      <c r="BN392" s="2">
        <v>44107</v>
      </c>
      <c r="BO392" s="1">
        <v>0.60954861111111114</v>
      </c>
      <c r="BP392" s="3">
        <f t="shared" si="40"/>
        <v>0.99562955254942764</v>
      </c>
      <c r="BQ392" s="3">
        <f t="shared" si="41"/>
        <v>1.010174963537976</v>
      </c>
    </row>
    <row r="393" spans="1:69" hidden="1" x14ac:dyDescent="0.35">
      <c r="A393">
        <v>391</v>
      </c>
      <c r="B393">
        <v>4526</v>
      </c>
      <c r="D393">
        <v>12</v>
      </c>
      <c r="E393">
        <v>1</v>
      </c>
      <c r="G393">
        <v>19949.900000000001</v>
      </c>
      <c r="I393" t="s">
        <v>62</v>
      </c>
      <c r="L393" t="s">
        <v>183</v>
      </c>
      <c r="M393">
        <v>9.6199999999999992</v>
      </c>
      <c r="N393">
        <v>47.87</v>
      </c>
      <c r="O393">
        <v>9.25</v>
      </c>
      <c r="P393" s="3">
        <f t="shared" si="36"/>
        <v>0.96153846153846156</v>
      </c>
      <c r="Q393">
        <v>38.94</v>
      </c>
      <c r="R393" s="3">
        <f t="shared" si="37"/>
        <v>0.81345310215166078</v>
      </c>
      <c r="S393">
        <v>360</v>
      </c>
      <c r="T393">
        <v>9.6080000000000005</v>
      </c>
      <c r="U393">
        <v>47.37</v>
      </c>
      <c r="V393">
        <v>9.1959999999999997</v>
      </c>
      <c r="W393" s="3">
        <f t="shared" si="38"/>
        <v>0.95711906744379671</v>
      </c>
      <c r="X393">
        <v>38.93</v>
      </c>
      <c r="Y393" s="3">
        <f t="shared" si="39"/>
        <v>0.82182816128351277</v>
      </c>
      <c r="Z393">
        <v>358</v>
      </c>
      <c r="AA393">
        <v>78.7</v>
      </c>
      <c r="AB393">
        <v>25.3</v>
      </c>
      <c r="AC393" t="s">
        <v>64</v>
      </c>
      <c r="AE393" t="s">
        <v>65</v>
      </c>
      <c r="AF393" t="s">
        <v>66</v>
      </c>
      <c r="AG393" s="2">
        <v>44107</v>
      </c>
      <c r="AH393" s="1">
        <v>0.6071643518518518</v>
      </c>
      <c r="AI393" t="s">
        <v>68</v>
      </c>
      <c r="AJ393" t="s">
        <v>69</v>
      </c>
      <c r="AO393">
        <v>7.6980000000000004</v>
      </c>
      <c r="AP393">
        <v>49.386000000000003</v>
      </c>
      <c r="AQ393">
        <v>12.8</v>
      </c>
      <c r="AR393">
        <v>1.925</v>
      </c>
      <c r="AS393">
        <v>44.844000000000001</v>
      </c>
      <c r="AT393">
        <v>51.2</v>
      </c>
      <c r="AY393">
        <v>2.69</v>
      </c>
      <c r="AZ393" s="2">
        <v>44138</v>
      </c>
      <c r="BB393" s="2">
        <v>44138</v>
      </c>
      <c r="BD393" t="s">
        <v>68</v>
      </c>
      <c r="BE393" t="s">
        <v>1712</v>
      </c>
      <c r="BF393" t="s">
        <v>1713</v>
      </c>
      <c r="BG393" t="s">
        <v>1714</v>
      </c>
      <c r="BH393">
        <v>0</v>
      </c>
      <c r="BI393">
        <v>0</v>
      </c>
      <c r="BJ393">
        <v>1</v>
      </c>
      <c r="BK393" t="s">
        <v>1715</v>
      </c>
      <c r="BL393">
        <v>8.8620000000000001</v>
      </c>
      <c r="BM393">
        <v>8.8620000000000001</v>
      </c>
      <c r="BN393" s="2">
        <v>44107</v>
      </c>
      <c r="BO393" s="1">
        <v>0.6071643518518518</v>
      </c>
      <c r="BP393" s="3">
        <f t="shared" si="40"/>
        <v>0.99540383014154854</v>
      </c>
      <c r="BQ393" s="3">
        <f t="shared" si="41"/>
        <v>1.0102956877411853</v>
      </c>
    </row>
    <row r="394" spans="1:69" hidden="1" x14ac:dyDescent="0.35">
      <c r="A394">
        <v>392</v>
      </c>
      <c r="B394">
        <v>3458</v>
      </c>
      <c r="D394">
        <v>38</v>
      </c>
      <c r="E394">
        <v>4</v>
      </c>
      <c r="G394">
        <v>16335</v>
      </c>
      <c r="I394" t="s">
        <v>182</v>
      </c>
      <c r="L394" t="s">
        <v>1716</v>
      </c>
      <c r="M394">
        <v>8.67</v>
      </c>
      <c r="N394">
        <v>37.9</v>
      </c>
      <c r="O394">
        <v>8.1999999999999993</v>
      </c>
      <c r="P394" s="3">
        <f t="shared" si="36"/>
        <v>0.9457900807381775</v>
      </c>
      <c r="Q394">
        <v>31.7</v>
      </c>
      <c r="R394" s="3">
        <f t="shared" si="37"/>
        <v>0.83641160949868076</v>
      </c>
      <c r="S394">
        <v>260</v>
      </c>
      <c r="T394">
        <v>9.0579999999999998</v>
      </c>
      <c r="U394">
        <v>37.78</v>
      </c>
      <c r="V394">
        <v>8.6</v>
      </c>
      <c r="W394" s="3">
        <f t="shared" si="38"/>
        <v>0.94943696180172221</v>
      </c>
      <c r="X394">
        <v>30.75</v>
      </c>
      <c r="Y394" s="3">
        <f t="shared" si="39"/>
        <v>0.81392271042879827</v>
      </c>
      <c r="Z394">
        <v>264.5</v>
      </c>
      <c r="AA394">
        <v>77.3</v>
      </c>
      <c r="AB394">
        <v>24.9</v>
      </c>
      <c r="AC394" t="s">
        <v>64</v>
      </c>
      <c r="AE394" t="s">
        <v>65</v>
      </c>
      <c r="AF394" t="s">
        <v>66</v>
      </c>
      <c r="AG394" s="2">
        <v>44441</v>
      </c>
      <c r="AH394" s="1">
        <v>0.3913773148148148</v>
      </c>
      <c r="AI394" t="s">
        <v>68</v>
      </c>
      <c r="AJ394" t="s">
        <v>69</v>
      </c>
      <c r="AO394">
        <v>7.258</v>
      </c>
      <c r="AP394">
        <v>38.838999999999999</v>
      </c>
      <c r="AQ394">
        <v>51.2</v>
      </c>
      <c r="AR394">
        <v>1.8149999999999999</v>
      </c>
      <c r="AS394">
        <v>34.973999999999997</v>
      </c>
      <c r="AT394">
        <v>204.6</v>
      </c>
      <c r="AY394">
        <v>2.36</v>
      </c>
      <c r="AZ394" t="s">
        <v>712</v>
      </c>
      <c r="BB394" t="s">
        <v>712</v>
      </c>
      <c r="BD394" t="s">
        <v>68</v>
      </c>
      <c r="BE394" t="s">
        <v>1717</v>
      </c>
      <c r="BF394" t="s">
        <v>1718</v>
      </c>
      <c r="BG394" t="s">
        <v>1719</v>
      </c>
      <c r="BH394">
        <v>0</v>
      </c>
      <c r="BI394">
        <v>0</v>
      </c>
      <c r="BJ394">
        <v>1</v>
      </c>
      <c r="BK394" t="s">
        <v>1720</v>
      </c>
      <c r="BL394">
        <v>8.8620000000000001</v>
      </c>
      <c r="BN394" t="s">
        <v>1721</v>
      </c>
      <c r="BO394" s="1">
        <v>0.66106481481481483</v>
      </c>
      <c r="BP394" s="3">
        <f t="shared" si="40"/>
        <v>1.003855909612309</v>
      </c>
      <c r="BQ394" s="3">
        <f t="shared" si="41"/>
        <v>0.97311264117512475</v>
      </c>
    </row>
    <row r="395" spans="1:69" hidden="1" x14ac:dyDescent="0.35">
      <c r="A395">
        <v>393</v>
      </c>
      <c r="B395">
        <v>3416</v>
      </c>
      <c r="D395">
        <v>38</v>
      </c>
      <c r="E395">
        <v>4</v>
      </c>
      <c r="G395">
        <v>16335</v>
      </c>
      <c r="I395" t="s">
        <v>182</v>
      </c>
      <c r="L395" t="s">
        <v>1722</v>
      </c>
      <c r="M395">
        <v>8.67</v>
      </c>
      <c r="N395">
        <v>37.9</v>
      </c>
      <c r="O395">
        <v>8.1999999999999993</v>
      </c>
      <c r="P395" s="3">
        <f t="shared" si="36"/>
        <v>0.9457900807381775</v>
      </c>
      <c r="Q395">
        <v>31.7</v>
      </c>
      <c r="R395" s="3">
        <f t="shared" si="37"/>
        <v>0.83641160949868076</v>
      </c>
      <c r="S395">
        <v>260</v>
      </c>
      <c r="T395">
        <v>9.0139999999999993</v>
      </c>
      <c r="U395">
        <v>37.75</v>
      </c>
      <c r="V395">
        <v>8.5500000000000007</v>
      </c>
      <c r="W395" s="3">
        <f t="shared" si="38"/>
        <v>0.94852451741735089</v>
      </c>
      <c r="X395">
        <v>30.73</v>
      </c>
      <c r="Y395" s="3">
        <f t="shared" si="39"/>
        <v>0.8140397350993378</v>
      </c>
      <c r="Z395">
        <v>262.7</v>
      </c>
      <c r="AA395">
        <v>77.2</v>
      </c>
      <c r="AB395">
        <v>25</v>
      </c>
      <c r="AC395" t="s">
        <v>64</v>
      </c>
      <c r="AE395" t="s">
        <v>65</v>
      </c>
      <c r="AF395" t="s">
        <v>66</v>
      </c>
      <c r="AG395" s="2">
        <v>44441</v>
      </c>
      <c r="AH395" s="1">
        <v>0.38944444444444443</v>
      </c>
      <c r="AI395" t="s">
        <v>68</v>
      </c>
      <c r="AJ395" t="s">
        <v>69</v>
      </c>
      <c r="AO395">
        <v>7.3</v>
      </c>
      <c r="AP395">
        <v>39</v>
      </c>
      <c r="AQ395">
        <v>51.2</v>
      </c>
      <c r="AR395">
        <v>1.8</v>
      </c>
      <c r="AS395">
        <v>34.799999999999997</v>
      </c>
      <c r="AT395">
        <v>204.6</v>
      </c>
      <c r="AY395">
        <v>2.36</v>
      </c>
      <c r="AZ395" t="s">
        <v>712</v>
      </c>
      <c r="BB395" t="s">
        <v>712</v>
      </c>
      <c r="BD395" t="s">
        <v>68</v>
      </c>
      <c r="BE395" t="s">
        <v>1723</v>
      </c>
      <c r="BF395" t="s">
        <v>1724</v>
      </c>
      <c r="BG395" t="s">
        <v>1725</v>
      </c>
      <c r="BH395">
        <v>0</v>
      </c>
      <c r="BI395">
        <v>0</v>
      </c>
      <c r="BJ395">
        <v>1</v>
      </c>
      <c r="BK395" t="s">
        <v>1726</v>
      </c>
      <c r="BL395">
        <v>8.8620000000000001</v>
      </c>
      <c r="BN395" t="s">
        <v>1727</v>
      </c>
      <c r="BO395" s="1">
        <v>0.7427083333333333</v>
      </c>
      <c r="BP395" s="3">
        <f t="shared" si="40"/>
        <v>1.0028911665863942</v>
      </c>
      <c r="BQ395" s="3">
        <f t="shared" si="41"/>
        <v>0.97325255395157417</v>
      </c>
    </row>
    <row r="396" spans="1:69" hidden="1" x14ac:dyDescent="0.35">
      <c r="A396">
        <v>394</v>
      </c>
      <c r="B396">
        <v>3420</v>
      </c>
      <c r="D396">
        <v>38</v>
      </c>
      <c r="E396">
        <v>4</v>
      </c>
      <c r="G396">
        <v>16335</v>
      </c>
      <c r="I396" t="s">
        <v>182</v>
      </c>
      <c r="L396" t="s">
        <v>1722</v>
      </c>
      <c r="M396">
        <v>8.67</v>
      </c>
      <c r="N396">
        <v>37.9</v>
      </c>
      <c r="O396">
        <v>8.1999999999999993</v>
      </c>
      <c r="P396" s="3">
        <f t="shared" si="36"/>
        <v>0.9457900807381775</v>
      </c>
      <c r="Q396">
        <v>31.7</v>
      </c>
      <c r="R396" s="3">
        <f t="shared" si="37"/>
        <v>0.83641160949868076</v>
      </c>
      <c r="S396">
        <v>260</v>
      </c>
      <c r="T396">
        <v>9.0500000000000007</v>
      </c>
      <c r="U396">
        <v>37.619999999999997</v>
      </c>
      <c r="V396">
        <v>8.5489999999999995</v>
      </c>
      <c r="W396" s="3">
        <f t="shared" si="38"/>
        <v>0.94464088397790047</v>
      </c>
      <c r="X396">
        <v>30.59</v>
      </c>
      <c r="Y396" s="3">
        <f t="shared" si="39"/>
        <v>0.81313131313131315</v>
      </c>
      <c r="Z396">
        <v>261.60000000000002</v>
      </c>
      <c r="AA396">
        <v>76.8</v>
      </c>
      <c r="AB396">
        <v>24.8</v>
      </c>
      <c r="AC396" t="s">
        <v>64</v>
      </c>
      <c r="AE396" t="s">
        <v>65</v>
      </c>
      <c r="AF396" t="s">
        <v>66</v>
      </c>
      <c r="AG396" s="2">
        <v>44441</v>
      </c>
      <c r="AH396" s="1">
        <v>0.3850925925925926</v>
      </c>
      <c r="AI396" t="s">
        <v>68</v>
      </c>
      <c r="AJ396" t="s">
        <v>69</v>
      </c>
      <c r="AO396">
        <v>7.3</v>
      </c>
      <c r="AP396">
        <v>39</v>
      </c>
      <c r="AQ396">
        <v>51.2</v>
      </c>
      <c r="AR396">
        <v>1.8</v>
      </c>
      <c r="AS396">
        <v>34.6</v>
      </c>
      <c r="AT396">
        <v>204.6</v>
      </c>
      <c r="AY396">
        <v>2.36</v>
      </c>
      <c r="AZ396" t="s">
        <v>712</v>
      </c>
      <c r="BB396" t="s">
        <v>712</v>
      </c>
      <c r="BD396" t="s">
        <v>68</v>
      </c>
      <c r="BE396" t="s">
        <v>1728</v>
      </c>
      <c r="BF396" t="s">
        <v>1729</v>
      </c>
      <c r="BG396" t="s">
        <v>1730</v>
      </c>
      <c r="BH396">
        <v>0</v>
      </c>
      <c r="BI396">
        <v>0</v>
      </c>
      <c r="BJ396">
        <v>1</v>
      </c>
      <c r="BK396" t="s">
        <v>1731</v>
      </c>
      <c r="BL396">
        <v>8.8620000000000001</v>
      </c>
      <c r="BN396" t="s">
        <v>1727</v>
      </c>
      <c r="BO396" s="1">
        <v>0.77638888888888891</v>
      </c>
      <c r="BP396" s="3">
        <f t="shared" si="40"/>
        <v>0.99878493464492657</v>
      </c>
      <c r="BQ396" s="3">
        <f t="shared" si="41"/>
        <v>0.97216645954816305</v>
      </c>
    </row>
    <row r="397" spans="1:69" hidden="1" x14ac:dyDescent="0.35">
      <c r="A397">
        <v>395</v>
      </c>
      <c r="B397">
        <v>3427</v>
      </c>
      <c r="D397">
        <v>38</v>
      </c>
      <c r="E397">
        <v>4</v>
      </c>
      <c r="G397">
        <v>16335</v>
      </c>
      <c r="I397" t="s">
        <v>182</v>
      </c>
      <c r="L397" t="s">
        <v>1722</v>
      </c>
      <c r="M397">
        <v>8.67</v>
      </c>
      <c r="N397">
        <v>37.9</v>
      </c>
      <c r="O397">
        <v>8.1999999999999993</v>
      </c>
      <c r="P397" s="3">
        <f t="shared" si="36"/>
        <v>0.9457900807381775</v>
      </c>
      <c r="Q397">
        <v>31.7</v>
      </c>
      <c r="R397" s="3">
        <f t="shared" si="37"/>
        <v>0.83641160949868076</v>
      </c>
      <c r="S397">
        <v>260</v>
      </c>
      <c r="T397">
        <v>9.0429999999999993</v>
      </c>
      <c r="U397">
        <v>37.76</v>
      </c>
      <c r="V397">
        <v>8.5670000000000002</v>
      </c>
      <c r="W397" s="3">
        <f t="shared" si="38"/>
        <v>0.94736260090677882</v>
      </c>
      <c r="X397">
        <v>30.6</v>
      </c>
      <c r="Y397" s="3">
        <f t="shared" si="39"/>
        <v>0.81038135593220351</v>
      </c>
      <c r="Z397">
        <v>262.10000000000002</v>
      </c>
      <c r="AA397">
        <v>76.8</v>
      </c>
      <c r="AB397">
        <v>24.9</v>
      </c>
      <c r="AC397" t="s">
        <v>64</v>
      </c>
      <c r="AE397" t="s">
        <v>65</v>
      </c>
      <c r="AF397" t="s">
        <v>66</v>
      </c>
      <c r="AG397" s="2">
        <v>44441</v>
      </c>
      <c r="AH397" s="1">
        <v>0.38581018518518517</v>
      </c>
      <c r="AI397" t="s">
        <v>68</v>
      </c>
      <c r="AJ397" t="s">
        <v>69</v>
      </c>
      <c r="AO397">
        <v>7.3</v>
      </c>
      <c r="AP397">
        <v>39.1</v>
      </c>
      <c r="AQ397">
        <v>51.2</v>
      </c>
      <c r="AR397">
        <v>1.8</v>
      </c>
      <c r="AS397">
        <v>35.200000000000003</v>
      </c>
      <c r="AT397">
        <v>204.6</v>
      </c>
      <c r="AY397">
        <v>2.36</v>
      </c>
      <c r="AZ397" t="s">
        <v>712</v>
      </c>
      <c r="BB397" t="s">
        <v>712</v>
      </c>
      <c r="BD397" t="s">
        <v>68</v>
      </c>
      <c r="BE397" t="s">
        <v>1732</v>
      </c>
      <c r="BF397" t="s">
        <v>1733</v>
      </c>
      <c r="BG397" t="s">
        <v>1734</v>
      </c>
      <c r="BH397">
        <v>0</v>
      </c>
      <c r="BI397">
        <v>0</v>
      </c>
      <c r="BJ397">
        <v>1</v>
      </c>
      <c r="BK397" t="s">
        <v>1735</v>
      </c>
      <c r="BL397">
        <v>8.8620000000000001</v>
      </c>
      <c r="BN397" t="s">
        <v>1727</v>
      </c>
      <c r="BO397" s="1">
        <v>0.75594907407407408</v>
      </c>
      <c r="BP397" s="3">
        <f t="shared" si="40"/>
        <v>1.0016626524221675</v>
      </c>
      <c r="BQ397" s="3">
        <f t="shared" si="41"/>
        <v>0.9688786558306155</v>
      </c>
    </row>
    <row r="398" spans="1:69" hidden="1" x14ac:dyDescent="0.35">
      <c r="A398">
        <v>396</v>
      </c>
      <c r="B398">
        <v>3453</v>
      </c>
      <c r="D398">
        <v>38</v>
      </c>
      <c r="E398">
        <v>4</v>
      </c>
      <c r="G398">
        <v>16335</v>
      </c>
      <c r="I398" t="s">
        <v>182</v>
      </c>
      <c r="L398" t="s">
        <v>1716</v>
      </c>
      <c r="M398">
        <v>8.67</v>
      </c>
      <c r="N398">
        <v>37.9</v>
      </c>
      <c r="O398">
        <v>8.1999999999999993</v>
      </c>
      <c r="P398" s="3">
        <f t="shared" si="36"/>
        <v>0.9457900807381775</v>
      </c>
      <c r="Q398">
        <v>31.7</v>
      </c>
      <c r="R398" s="3">
        <f t="shared" si="37"/>
        <v>0.83641160949868076</v>
      </c>
      <c r="S398">
        <v>260</v>
      </c>
      <c r="T398">
        <v>9.0649999999999995</v>
      </c>
      <c r="U398">
        <v>37.770000000000003</v>
      </c>
      <c r="V398">
        <v>8.5760000000000005</v>
      </c>
      <c r="W398" s="3">
        <f t="shared" si="38"/>
        <v>0.94605626034197476</v>
      </c>
      <c r="X398">
        <v>30.78</v>
      </c>
      <c r="Y398" s="3">
        <f t="shared" si="39"/>
        <v>0.8149324861000794</v>
      </c>
      <c r="Z398">
        <v>264</v>
      </c>
      <c r="AA398">
        <v>77.099999999999994</v>
      </c>
      <c r="AB398">
        <v>24.8</v>
      </c>
      <c r="AC398" t="s">
        <v>64</v>
      </c>
      <c r="AE398" t="s">
        <v>65</v>
      </c>
      <c r="AF398" t="s">
        <v>66</v>
      </c>
      <c r="AG398" s="2">
        <v>44441</v>
      </c>
      <c r="AH398" s="1">
        <v>0.3881134259259259</v>
      </c>
      <c r="AI398" t="s">
        <v>68</v>
      </c>
      <c r="AJ398" t="s">
        <v>69</v>
      </c>
      <c r="AO398">
        <v>7.3</v>
      </c>
      <c r="AP398">
        <v>39.1</v>
      </c>
      <c r="AQ398">
        <v>51.2</v>
      </c>
      <c r="AR398">
        <v>1.8</v>
      </c>
      <c r="AS398">
        <v>35.1</v>
      </c>
      <c r="AT398">
        <v>204.6</v>
      </c>
      <c r="AY398">
        <v>2.36</v>
      </c>
      <c r="AZ398" t="s">
        <v>712</v>
      </c>
      <c r="BB398" t="s">
        <v>712</v>
      </c>
      <c r="BD398" t="s">
        <v>68</v>
      </c>
      <c r="BE398" t="s">
        <v>1736</v>
      </c>
      <c r="BF398" t="s">
        <v>1737</v>
      </c>
      <c r="BG398" t="s">
        <v>1738</v>
      </c>
      <c r="BH398">
        <v>0</v>
      </c>
      <c r="BI398">
        <v>0</v>
      </c>
      <c r="BJ398">
        <v>1</v>
      </c>
      <c r="BK398" t="s">
        <v>1739</v>
      </c>
      <c r="BL398">
        <v>8.8620000000000001</v>
      </c>
      <c r="BN398" t="s">
        <v>1721</v>
      </c>
      <c r="BO398" s="1">
        <v>0.68417824074074074</v>
      </c>
      <c r="BP398" s="3">
        <f t="shared" si="40"/>
        <v>1.0002814362396246</v>
      </c>
      <c r="BQ398" s="3">
        <f t="shared" si="41"/>
        <v>0.97431991240356497</v>
      </c>
    </row>
    <row r="399" spans="1:69" hidden="1" x14ac:dyDescent="0.35">
      <c r="A399">
        <v>397</v>
      </c>
      <c r="B399">
        <v>3471</v>
      </c>
      <c r="D399">
        <v>38</v>
      </c>
      <c r="E399">
        <v>4</v>
      </c>
      <c r="G399">
        <v>16335</v>
      </c>
      <c r="I399" t="s">
        <v>182</v>
      </c>
      <c r="L399" t="s">
        <v>1740</v>
      </c>
      <c r="M399">
        <v>8.67</v>
      </c>
      <c r="N399">
        <v>37.9</v>
      </c>
      <c r="O399">
        <v>8.1999999999999993</v>
      </c>
      <c r="P399" s="3">
        <f t="shared" si="36"/>
        <v>0.9457900807381775</v>
      </c>
      <c r="Q399">
        <v>31.7</v>
      </c>
      <c r="R399" s="3">
        <f t="shared" si="37"/>
        <v>0.83641160949868076</v>
      </c>
      <c r="S399">
        <v>260</v>
      </c>
      <c r="T399">
        <v>9.0779999999999994</v>
      </c>
      <c r="U399">
        <v>37.86</v>
      </c>
      <c r="V399">
        <v>8.6219999999999999</v>
      </c>
      <c r="W399" s="3">
        <f t="shared" si="38"/>
        <v>0.94976867151354927</v>
      </c>
      <c r="X399">
        <v>30.78</v>
      </c>
      <c r="Y399" s="3">
        <f t="shared" si="39"/>
        <v>0.81299524564183845</v>
      </c>
      <c r="Z399">
        <v>265.39999999999998</v>
      </c>
      <c r="AA399">
        <v>77.2</v>
      </c>
      <c r="AB399">
        <v>24.6</v>
      </c>
      <c r="AC399" t="s">
        <v>64</v>
      </c>
      <c r="AE399" t="s">
        <v>65</v>
      </c>
      <c r="AF399" t="s">
        <v>66</v>
      </c>
      <c r="AG399" s="2">
        <v>44441</v>
      </c>
      <c r="AH399" s="1">
        <v>0.38381944444444444</v>
      </c>
      <c r="AI399" t="s">
        <v>68</v>
      </c>
      <c r="AJ399" t="s">
        <v>69</v>
      </c>
      <c r="AO399">
        <v>7.3</v>
      </c>
      <c r="AP399">
        <v>39.1</v>
      </c>
      <c r="AQ399">
        <v>51.2</v>
      </c>
      <c r="AR399">
        <v>1.8</v>
      </c>
      <c r="AS399">
        <v>35.200000000000003</v>
      </c>
      <c r="AT399">
        <v>204.6</v>
      </c>
      <c r="AY399">
        <v>2.36</v>
      </c>
      <c r="AZ399" t="s">
        <v>712</v>
      </c>
      <c r="BB399" t="s">
        <v>712</v>
      </c>
      <c r="BD399" t="s">
        <v>68</v>
      </c>
      <c r="BE399" t="s">
        <v>1741</v>
      </c>
      <c r="BF399" t="s">
        <v>1742</v>
      </c>
      <c r="BG399" t="s">
        <v>1743</v>
      </c>
      <c r="BH399">
        <v>0</v>
      </c>
      <c r="BI399">
        <v>0</v>
      </c>
      <c r="BJ399">
        <v>1</v>
      </c>
      <c r="BK399" t="s">
        <v>1744</v>
      </c>
      <c r="BL399">
        <v>8.8620000000000001</v>
      </c>
      <c r="BM399">
        <v>8.8620000000000001</v>
      </c>
      <c r="BN399" t="s">
        <v>1745</v>
      </c>
      <c r="BO399" s="1">
        <v>0.38385416666666666</v>
      </c>
      <c r="BP399" s="3">
        <f t="shared" si="40"/>
        <v>1.0042066319539602</v>
      </c>
      <c r="BQ399" s="3">
        <f t="shared" si="41"/>
        <v>0.97200377948976902</v>
      </c>
    </row>
    <row r="400" spans="1:69" hidden="1" x14ac:dyDescent="0.35">
      <c r="A400">
        <v>398</v>
      </c>
      <c r="B400">
        <v>3413</v>
      </c>
      <c r="D400">
        <v>38</v>
      </c>
      <c r="E400">
        <v>4</v>
      </c>
      <c r="G400">
        <v>16335</v>
      </c>
      <c r="I400" t="s">
        <v>182</v>
      </c>
      <c r="L400" t="s">
        <v>1722</v>
      </c>
      <c r="M400">
        <v>8.67</v>
      </c>
      <c r="N400">
        <v>37.9</v>
      </c>
      <c r="O400">
        <v>8.1999999999999993</v>
      </c>
      <c r="P400" s="3">
        <f t="shared" si="36"/>
        <v>0.9457900807381775</v>
      </c>
      <c r="Q400">
        <v>31.7</v>
      </c>
      <c r="R400" s="3">
        <f t="shared" si="37"/>
        <v>0.83641160949868076</v>
      </c>
      <c r="S400">
        <v>260</v>
      </c>
      <c r="T400">
        <v>9.0730000000000004</v>
      </c>
      <c r="U400">
        <v>37.67</v>
      </c>
      <c r="V400">
        <v>8.5690000000000008</v>
      </c>
      <c r="W400" s="3">
        <f t="shared" si="38"/>
        <v>0.94445056761820789</v>
      </c>
      <c r="X400">
        <v>30.7</v>
      </c>
      <c r="Y400" s="3">
        <f t="shared" si="39"/>
        <v>0.81497212636049898</v>
      </c>
      <c r="Z400">
        <v>263.10000000000002</v>
      </c>
      <c r="AA400">
        <v>77</v>
      </c>
      <c r="AB400">
        <v>25</v>
      </c>
      <c r="AC400" t="s">
        <v>64</v>
      </c>
      <c r="AE400" t="s">
        <v>65</v>
      </c>
      <c r="AF400" t="s">
        <v>66</v>
      </c>
      <c r="AG400" s="2">
        <v>44441</v>
      </c>
      <c r="AH400" s="1">
        <v>0.38874999999999998</v>
      </c>
      <c r="AI400" t="s">
        <v>68</v>
      </c>
      <c r="AJ400" t="s">
        <v>69</v>
      </c>
      <c r="AO400">
        <v>7.3</v>
      </c>
      <c r="AP400">
        <v>39</v>
      </c>
      <c r="AQ400">
        <v>51.2</v>
      </c>
      <c r="AR400">
        <v>1.8</v>
      </c>
      <c r="AS400">
        <v>34.799999999999997</v>
      </c>
      <c r="AT400">
        <v>204.6</v>
      </c>
      <c r="AY400">
        <v>2.36</v>
      </c>
      <c r="AZ400" t="s">
        <v>712</v>
      </c>
      <c r="BB400" t="s">
        <v>712</v>
      </c>
      <c r="BD400" t="s">
        <v>68</v>
      </c>
      <c r="BE400" t="s">
        <v>1746</v>
      </c>
      <c r="BF400" t="s">
        <v>1747</v>
      </c>
      <c r="BG400" t="s">
        <v>1748</v>
      </c>
      <c r="BH400">
        <v>0</v>
      </c>
      <c r="BI400">
        <v>0</v>
      </c>
      <c r="BJ400">
        <v>1</v>
      </c>
      <c r="BK400" t="s">
        <v>1749</v>
      </c>
      <c r="BL400">
        <v>8.8620000000000001</v>
      </c>
      <c r="BN400" t="s">
        <v>1727</v>
      </c>
      <c r="BO400" s="1">
        <v>0.74956018518518519</v>
      </c>
      <c r="BP400" s="3">
        <f t="shared" si="40"/>
        <v>0.99858370990851997</v>
      </c>
      <c r="BQ400" s="3">
        <f t="shared" si="41"/>
        <v>0.97436730564867224</v>
      </c>
    </row>
    <row r="401" spans="1:69" hidden="1" x14ac:dyDescent="0.35">
      <c r="A401">
        <v>399</v>
      </c>
      <c r="B401">
        <v>3452</v>
      </c>
      <c r="D401">
        <v>38</v>
      </c>
      <c r="E401">
        <v>4</v>
      </c>
      <c r="G401">
        <v>16335</v>
      </c>
      <c r="I401" t="s">
        <v>182</v>
      </c>
      <c r="L401" t="s">
        <v>1716</v>
      </c>
      <c r="M401">
        <v>8.67</v>
      </c>
      <c r="N401">
        <v>37.9</v>
      </c>
      <c r="O401">
        <v>8.1999999999999993</v>
      </c>
      <c r="P401" s="3">
        <f t="shared" si="36"/>
        <v>0.9457900807381775</v>
      </c>
      <c r="Q401">
        <v>31.7</v>
      </c>
      <c r="R401" s="3">
        <f t="shared" si="37"/>
        <v>0.83641160949868076</v>
      </c>
      <c r="S401">
        <v>260</v>
      </c>
      <c r="T401">
        <v>9.1050000000000004</v>
      </c>
      <c r="U401">
        <v>37.79</v>
      </c>
      <c r="V401">
        <v>8.6129999999999995</v>
      </c>
      <c r="W401" s="3">
        <f t="shared" si="38"/>
        <v>0.94596375617792416</v>
      </c>
      <c r="X401">
        <v>30.74</v>
      </c>
      <c r="Y401" s="3">
        <f t="shared" si="39"/>
        <v>0.81344270971156385</v>
      </c>
      <c r="Z401">
        <v>264.7</v>
      </c>
      <c r="AA401">
        <v>76.900000000000006</v>
      </c>
      <c r="AB401">
        <v>25</v>
      </c>
      <c r="AC401" t="s">
        <v>64</v>
      </c>
      <c r="AE401" t="s">
        <v>65</v>
      </c>
      <c r="AF401" t="s">
        <v>66</v>
      </c>
      <c r="AG401" s="2">
        <v>44441</v>
      </c>
      <c r="AH401" s="1">
        <v>0.39480324074074075</v>
      </c>
      <c r="AI401" t="s">
        <v>68</v>
      </c>
      <c r="AJ401" t="s">
        <v>69</v>
      </c>
      <c r="AO401">
        <v>7.2629999999999999</v>
      </c>
      <c r="AP401">
        <v>38.802</v>
      </c>
      <c r="AQ401">
        <v>51.2</v>
      </c>
      <c r="AR401">
        <v>1.8149999999999999</v>
      </c>
      <c r="AS401">
        <v>34.860999999999997</v>
      </c>
      <c r="AT401">
        <v>204.6</v>
      </c>
      <c r="AY401">
        <v>2.36</v>
      </c>
      <c r="AZ401" t="s">
        <v>712</v>
      </c>
      <c r="BB401" t="s">
        <v>712</v>
      </c>
      <c r="BD401" t="s">
        <v>68</v>
      </c>
      <c r="BE401" t="s">
        <v>1750</v>
      </c>
      <c r="BF401" t="s">
        <v>1751</v>
      </c>
      <c r="BG401" t="s">
        <v>1752</v>
      </c>
      <c r="BH401">
        <v>0</v>
      </c>
      <c r="BI401">
        <v>0</v>
      </c>
      <c r="BJ401">
        <v>1</v>
      </c>
      <c r="BK401" t="s">
        <v>1753</v>
      </c>
      <c r="BL401">
        <v>8.8620000000000001</v>
      </c>
      <c r="BN401" t="s">
        <v>1721</v>
      </c>
      <c r="BO401" s="1">
        <v>0.68800925925925926</v>
      </c>
      <c r="BP401" s="3">
        <f t="shared" si="40"/>
        <v>1.0001836300076345</v>
      </c>
      <c r="BQ401" s="3">
        <f t="shared" si="41"/>
        <v>0.97253876019142804</v>
      </c>
    </row>
    <row r="402" spans="1:69" hidden="1" x14ac:dyDescent="0.35">
      <c r="A402">
        <v>400</v>
      </c>
      <c r="B402">
        <v>3465</v>
      </c>
      <c r="D402">
        <v>38</v>
      </c>
      <c r="E402">
        <v>4</v>
      </c>
      <c r="G402">
        <v>16335</v>
      </c>
      <c r="I402" t="s">
        <v>182</v>
      </c>
      <c r="L402" t="s">
        <v>1716</v>
      </c>
      <c r="M402">
        <v>8.67</v>
      </c>
      <c r="N402">
        <v>37.9</v>
      </c>
      <c r="O402">
        <v>8.1999999999999993</v>
      </c>
      <c r="P402" s="3">
        <f t="shared" si="36"/>
        <v>0.9457900807381775</v>
      </c>
      <c r="Q402">
        <v>31.7</v>
      </c>
      <c r="R402" s="3">
        <f t="shared" si="37"/>
        <v>0.83641160949868076</v>
      </c>
      <c r="S402">
        <v>260</v>
      </c>
      <c r="T402">
        <v>9.0299999999999994</v>
      </c>
      <c r="U402">
        <v>37.869999999999997</v>
      </c>
      <c r="V402">
        <v>8.5459999999999994</v>
      </c>
      <c r="W402" s="3">
        <f t="shared" si="38"/>
        <v>0.94640088593576965</v>
      </c>
      <c r="X402">
        <v>30.65</v>
      </c>
      <c r="Y402" s="3">
        <f t="shared" si="39"/>
        <v>0.80934776868233427</v>
      </c>
      <c r="Z402">
        <v>261.89999999999998</v>
      </c>
      <c r="AA402">
        <v>76.599999999999994</v>
      </c>
      <c r="AB402">
        <v>24.6</v>
      </c>
      <c r="AC402" t="s">
        <v>64</v>
      </c>
      <c r="AE402" t="s">
        <v>65</v>
      </c>
      <c r="AF402" t="s">
        <v>66</v>
      </c>
      <c r="AG402" s="2">
        <v>44441</v>
      </c>
      <c r="AH402" s="1">
        <v>0.38237268518518519</v>
      </c>
      <c r="AI402" t="s">
        <v>68</v>
      </c>
      <c r="AJ402" t="s">
        <v>69</v>
      </c>
      <c r="AO402">
        <v>7.3</v>
      </c>
      <c r="AP402">
        <v>39.1</v>
      </c>
      <c r="AQ402">
        <v>51.2</v>
      </c>
      <c r="AR402">
        <v>1.8</v>
      </c>
      <c r="AS402">
        <v>35.1</v>
      </c>
      <c r="AT402">
        <v>204.6</v>
      </c>
      <c r="AY402">
        <v>2.36</v>
      </c>
      <c r="AZ402" t="s">
        <v>712</v>
      </c>
      <c r="BB402" t="s">
        <v>712</v>
      </c>
      <c r="BD402" t="s">
        <v>68</v>
      </c>
      <c r="BE402" t="s">
        <v>1754</v>
      </c>
      <c r="BF402" t="s">
        <v>1755</v>
      </c>
      <c r="BG402" t="s">
        <v>1756</v>
      </c>
      <c r="BH402">
        <v>0</v>
      </c>
      <c r="BI402">
        <v>0</v>
      </c>
      <c r="BJ402">
        <v>1</v>
      </c>
      <c r="BK402" t="s">
        <v>1757</v>
      </c>
      <c r="BL402">
        <v>8.8620000000000001</v>
      </c>
      <c r="BN402" t="s">
        <v>1721</v>
      </c>
      <c r="BO402" s="1">
        <v>0.63793981481481477</v>
      </c>
      <c r="BP402" s="3">
        <f t="shared" si="40"/>
        <v>1.0006458147637955</v>
      </c>
      <c r="BQ402" s="3">
        <f t="shared" si="41"/>
        <v>0.96764291586941542</v>
      </c>
    </row>
    <row r="403" spans="1:69" hidden="1" x14ac:dyDescent="0.35">
      <c r="A403">
        <v>401</v>
      </c>
      <c r="B403">
        <v>3417</v>
      </c>
      <c r="D403">
        <v>38</v>
      </c>
      <c r="E403">
        <v>4</v>
      </c>
      <c r="G403">
        <v>16335</v>
      </c>
      <c r="I403" t="s">
        <v>182</v>
      </c>
      <c r="L403" t="s">
        <v>1722</v>
      </c>
      <c r="M403">
        <v>8.67</v>
      </c>
      <c r="N403">
        <v>37.9</v>
      </c>
      <c r="O403">
        <v>8.1999999999999993</v>
      </c>
      <c r="P403" s="3">
        <f t="shared" si="36"/>
        <v>0.9457900807381775</v>
      </c>
      <c r="Q403">
        <v>31.7</v>
      </c>
      <c r="R403" s="3">
        <f t="shared" si="37"/>
        <v>0.83641160949868076</v>
      </c>
      <c r="S403">
        <v>260</v>
      </c>
      <c r="T403">
        <v>9.0860000000000003</v>
      </c>
      <c r="U403">
        <v>37.67</v>
      </c>
      <c r="V403">
        <v>8.5760000000000005</v>
      </c>
      <c r="W403" s="3">
        <f t="shared" si="38"/>
        <v>0.94386968963240148</v>
      </c>
      <c r="X403">
        <v>30.63</v>
      </c>
      <c r="Y403" s="3">
        <f t="shared" si="39"/>
        <v>0.81311388372710369</v>
      </c>
      <c r="Z403">
        <v>262.60000000000002</v>
      </c>
      <c r="AA403">
        <v>76.7</v>
      </c>
      <c r="AB403">
        <v>25</v>
      </c>
      <c r="AC403" t="s">
        <v>64</v>
      </c>
      <c r="AE403" t="s">
        <v>65</v>
      </c>
      <c r="AF403" t="s">
        <v>66</v>
      </c>
      <c r="AG403" s="2">
        <v>44441</v>
      </c>
      <c r="AH403" s="1">
        <v>0.39005787037037037</v>
      </c>
      <c r="AI403" t="s">
        <v>68</v>
      </c>
      <c r="AJ403" t="s">
        <v>69</v>
      </c>
      <c r="AO403">
        <v>7.258</v>
      </c>
      <c r="AP403">
        <v>39.14</v>
      </c>
      <c r="AQ403">
        <v>51.2</v>
      </c>
      <c r="AR403">
        <v>1.8149999999999999</v>
      </c>
      <c r="AS403">
        <v>34.936</v>
      </c>
      <c r="AT403">
        <v>204.6</v>
      </c>
      <c r="AY403">
        <v>2.36</v>
      </c>
      <c r="AZ403" t="s">
        <v>712</v>
      </c>
      <c r="BB403" t="s">
        <v>712</v>
      </c>
      <c r="BD403" t="s">
        <v>68</v>
      </c>
      <c r="BE403" t="s">
        <v>1758</v>
      </c>
      <c r="BF403" t="s">
        <v>1759</v>
      </c>
      <c r="BG403" t="s">
        <v>1760</v>
      </c>
      <c r="BH403">
        <v>0</v>
      </c>
      <c r="BI403">
        <v>0</v>
      </c>
      <c r="BJ403">
        <v>1</v>
      </c>
      <c r="BK403" t="s">
        <v>1761</v>
      </c>
      <c r="BL403">
        <v>8.8620000000000001</v>
      </c>
      <c r="BN403" t="s">
        <v>1727</v>
      </c>
      <c r="BO403" s="1">
        <v>0.78225694444444449</v>
      </c>
      <c r="BP403" s="3">
        <f t="shared" si="40"/>
        <v>0.99796953769669783</v>
      </c>
      <c r="BQ403" s="3">
        <f t="shared" si="41"/>
        <v>0.97214562123839843</v>
      </c>
    </row>
    <row r="404" spans="1:69" hidden="1" x14ac:dyDescent="0.35">
      <c r="A404">
        <v>402</v>
      </c>
      <c r="B404">
        <v>3459</v>
      </c>
      <c r="D404">
        <v>38</v>
      </c>
      <c r="E404">
        <v>4</v>
      </c>
      <c r="G404">
        <v>16335</v>
      </c>
      <c r="I404" t="s">
        <v>182</v>
      </c>
      <c r="L404" t="s">
        <v>1716</v>
      </c>
      <c r="M404">
        <v>8.67</v>
      </c>
      <c r="N404">
        <v>37.9</v>
      </c>
      <c r="O404">
        <v>8.1999999999999993</v>
      </c>
      <c r="P404" s="3">
        <f t="shared" si="36"/>
        <v>0.9457900807381775</v>
      </c>
      <c r="Q404">
        <v>31.7</v>
      </c>
      <c r="R404" s="3">
        <f t="shared" si="37"/>
        <v>0.83641160949868076</v>
      </c>
      <c r="S404">
        <v>260</v>
      </c>
      <c r="T404">
        <v>9.08</v>
      </c>
      <c r="U404">
        <v>37.92</v>
      </c>
      <c r="V404">
        <v>8.6050000000000004</v>
      </c>
      <c r="W404" s="3">
        <f t="shared" si="38"/>
        <v>0.94768722466960353</v>
      </c>
      <c r="X404">
        <v>30.85</v>
      </c>
      <c r="Y404" s="3">
        <f t="shared" si="39"/>
        <v>0.81355485232067515</v>
      </c>
      <c r="Z404">
        <v>265.5</v>
      </c>
      <c r="AA404">
        <v>77.099999999999994</v>
      </c>
      <c r="AB404">
        <v>24.9</v>
      </c>
      <c r="AC404" t="s">
        <v>64</v>
      </c>
      <c r="AE404" t="s">
        <v>65</v>
      </c>
      <c r="AF404" t="s">
        <v>66</v>
      </c>
      <c r="AG404" s="2">
        <v>44441</v>
      </c>
      <c r="AH404" s="1">
        <v>0.39409722222222221</v>
      </c>
      <c r="AI404" t="s">
        <v>68</v>
      </c>
      <c r="AJ404" t="s">
        <v>69</v>
      </c>
      <c r="AO404">
        <v>7.258</v>
      </c>
      <c r="AP404">
        <v>38.726999999999997</v>
      </c>
      <c r="AQ404">
        <v>51.2</v>
      </c>
      <c r="AR404">
        <v>1.8149999999999999</v>
      </c>
      <c r="AS404">
        <v>34.823999999999998</v>
      </c>
      <c r="AT404">
        <v>204.6</v>
      </c>
      <c r="AY404">
        <v>2.36</v>
      </c>
      <c r="AZ404" t="s">
        <v>712</v>
      </c>
      <c r="BB404" t="s">
        <v>712</v>
      </c>
      <c r="BD404" t="s">
        <v>68</v>
      </c>
      <c r="BE404" t="s">
        <v>1762</v>
      </c>
      <c r="BF404" t="s">
        <v>1763</v>
      </c>
      <c r="BG404" t="s">
        <v>1764</v>
      </c>
      <c r="BH404">
        <v>0</v>
      </c>
      <c r="BI404">
        <v>0</v>
      </c>
      <c r="BJ404">
        <v>1</v>
      </c>
      <c r="BK404" t="s">
        <v>1765</v>
      </c>
      <c r="BL404">
        <v>8.8620000000000001</v>
      </c>
      <c r="BN404" t="s">
        <v>1721</v>
      </c>
      <c r="BO404" s="1">
        <v>0.65834490740740736</v>
      </c>
      <c r="BP404" s="3">
        <f t="shared" si="40"/>
        <v>1.0020058826689591</v>
      </c>
      <c r="BQ404" s="3">
        <f t="shared" si="41"/>
        <v>0.97267283605531818</v>
      </c>
    </row>
    <row r="405" spans="1:69" hidden="1" x14ac:dyDescent="0.35">
      <c r="A405">
        <v>403</v>
      </c>
      <c r="B405">
        <v>3456</v>
      </c>
      <c r="D405">
        <v>38</v>
      </c>
      <c r="E405">
        <v>4</v>
      </c>
      <c r="G405">
        <v>16335</v>
      </c>
      <c r="I405" t="s">
        <v>182</v>
      </c>
      <c r="L405" t="s">
        <v>1716</v>
      </c>
      <c r="M405">
        <v>8.67</v>
      </c>
      <c r="N405">
        <v>37.9</v>
      </c>
      <c r="O405">
        <v>8.1999999999999993</v>
      </c>
      <c r="P405" s="3">
        <f t="shared" si="36"/>
        <v>0.9457900807381775</v>
      </c>
      <c r="Q405">
        <v>31.7</v>
      </c>
      <c r="R405" s="3">
        <f t="shared" si="37"/>
        <v>0.83641160949868076</v>
      </c>
      <c r="S405">
        <v>260</v>
      </c>
      <c r="T405">
        <v>9.0449999999999999</v>
      </c>
      <c r="U405">
        <v>37.729999999999997</v>
      </c>
      <c r="V405">
        <v>8.5709999999999997</v>
      </c>
      <c r="W405" s="3">
        <f t="shared" si="38"/>
        <v>0.94759535655058036</v>
      </c>
      <c r="X405">
        <v>30.71</v>
      </c>
      <c r="Y405" s="3">
        <f t="shared" si="39"/>
        <v>0.81394116087993651</v>
      </c>
      <c r="Z405">
        <v>263.3</v>
      </c>
      <c r="AA405">
        <v>77.099999999999994</v>
      </c>
      <c r="AB405">
        <v>25</v>
      </c>
      <c r="AC405" t="s">
        <v>64</v>
      </c>
      <c r="AE405" t="s">
        <v>65</v>
      </c>
      <c r="AF405" t="s">
        <v>66</v>
      </c>
      <c r="AG405" s="2">
        <v>44441</v>
      </c>
      <c r="AH405" s="1">
        <v>0.39070601851851849</v>
      </c>
      <c r="AI405" t="s">
        <v>68</v>
      </c>
      <c r="AJ405" t="s">
        <v>69</v>
      </c>
      <c r="AO405">
        <v>7.258</v>
      </c>
      <c r="AP405">
        <v>39.29</v>
      </c>
      <c r="AQ405">
        <v>51.2</v>
      </c>
      <c r="AR405">
        <v>1.8149999999999999</v>
      </c>
      <c r="AS405">
        <v>34.899000000000001</v>
      </c>
      <c r="AT405">
        <v>204.6</v>
      </c>
      <c r="AY405">
        <v>2.36</v>
      </c>
      <c r="AZ405" t="s">
        <v>712</v>
      </c>
      <c r="BB405" t="s">
        <v>712</v>
      </c>
      <c r="BD405" t="s">
        <v>68</v>
      </c>
      <c r="BE405" t="s">
        <v>1766</v>
      </c>
      <c r="BF405" t="s">
        <v>1767</v>
      </c>
      <c r="BG405" t="s">
        <v>1768</v>
      </c>
      <c r="BH405">
        <v>0</v>
      </c>
      <c r="BI405">
        <v>0</v>
      </c>
      <c r="BJ405">
        <v>1</v>
      </c>
      <c r="BK405" t="s">
        <v>1769</v>
      </c>
      <c r="BL405">
        <v>8.8620000000000001</v>
      </c>
      <c r="BN405" t="s">
        <v>1721</v>
      </c>
      <c r="BO405" s="1">
        <v>0.67831018518518515</v>
      </c>
      <c r="BP405" s="3">
        <f t="shared" si="40"/>
        <v>1.0019087489382357</v>
      </c>
      <c r="BQ405" s="3">
        <f t="shared" si="41"/>
        <v>0.97313470023184834</v>
      </c>
    </row>
    <row r="406" spans="1:69" hidden="1" x14ac:dyDescent="0.35">
      <c r="A406">
        <v>404</v>
      </c>
      <c r="B406">
        <v>3457</v>
      </c>
      <c r="D406">
        <v>38</v>
      </c>
      <c r="E406">
        <v>4</v>
      </c>
      <c r="G406">
        <v>16335</v>
      </c>
      <c r="I406" t="s">
        <v>182</v>
      </c>
      <c r="L406" t="s">
        <v>1716</v>
      </c>
      <c r="M406">
        <v>8.67</v>
      </c>
      <c r="N406">
        <v>37.9</v>
      </c>
      <c r="O406">
        <v>8.1999999999999993</v>
      </c>
      <c r="P406" s="3">
        <f t="shared" si="36"/>
        <v>0.9457900807381775</v>
      </c>
      <c r="Q406">
        <v>31.7</v>
      </c>
      <c r="R406" s="3">
        <f t="shared" si="37"/>
        <v>0.83641160949868076</v>
      </c>
      <c r="S406">
        <v>260</v>
      </c>
      <c r="T406">
        <v>9.1080000000000005</v>
      </c>
      <c r="U406">
        <v>37.770000000000003</v>
      </c>
      <c r="V406">
        <v>8.5939999999999994</v>
      </c>
      <c r="W406" s="3">
        <f t="shared" si="38"/>
        <v>0.94356609574000871</v>
      </c>
      <c r="X406">
        <v>30.7</v>
      </c>
      <c r="Y406" s="3">
        <f t="shared" si="39"/>
        <v>0.81281440296531626</v>
      </c>
      <c r="Z406">
        <v>263.89999999999998</v>
      </c>
      <c r="AA406">
        <v>76.7</v>
      </c>
      <c r="AB406">
        <v>25</v>
      </c>
      <c r="AC406" t="s">
        <v>64</v>
      </c>
      <c r="AE406" t="s">
        <v>65</v>
      </c>
      <c r="AF406" t="s">
        <v>66</v>
      </c>
      <c r="AG406" s="2">
        <v>44441</v>
      </c>
      <c r="AH406" s="1">
        <v>0.38741898148148146</v>
      </c>
      <c r="AI406" t="s">
        <v>68</v>
      </c>
      <c r="AJ406" t="s">
        <v>69</v>
      </c>
      <c r="AO406">
        <v>7.3</v>
      </c>
      <c r="AP406">
        <v>38.9</v>
      </c>
      <c r="AQ406">
        <v>51.2</v>
      </c>
      <c r="AR406">
        <v>1.8</v>
      </c>
      <c r="AS406">
        <v>35.1</v>
      </c>
      <c r="AT406">
        <v>204.6</v>
      </c>
      <c r="AY406">
        <v>2.36</v>
      </c>
      <c r="AZ406" t="s">
        <v>712</v>
      </c>
      <c r="BB406" t="s">
        <v>712</v>
      </c>
      <c r="BD406" t="s">
        <v>68</v>
      </c>
      <c r="BE406" t="s">
        <v>1770</v>
      </c>
      <c r="BF406" t="s">
        <v>1771</v>
      </c>
      <c r="BG406" t="s">
        <v>1772</v>
      </c>
      <c r="BH406">
        <v>0</v>
      </c>
      <c r="BI406">
        <v>0</v>
      </c>
      <c r="BJ406">
        <v>1</v>
      </c>
      <c r="BK406" t="s">
        <v>1773</v>
      </c>
      <c r="BL406">
        <v>8.8620000000000001</v>
      </c>
      <c r="BN406" t="s">
        <v>1721</v>
      </c>
      <c r="BO406" s="1">
        <v>0.67321759259259262</v>
      </c>
      <c r="BP406" s="3">
        <f t="shared" si="40"/>
        <v>0.99764854269096059</v>
      </c>
      <c r="BQ406" s="3">
        <f t="shared" si="41"/>
        <v>0.97178756695222357</v>
      </c>
    </row>
    <row r="407" spans="1:69" hidden="1" x14ac:dyDescent="0.35">
      <c r="A407">
        <v>405</v>
      </c>
      <c r="B407">
        <v>3463</v>
      </c>
      <c r="D407">
        <v>38</v>
      </c>
      <c r="E407">
        <v>4</v>
      </c>
      <c r="G407">
        <v>16335</v>
      </c>
      <c r="I407" t="s">
        <v>182</v>
      </c>
      <c r="L407" t="s">
        <v>1716</v>
      </c>
      <c r="M407">
        <v>8.67</v>
      </c>
      <c r="N407">
        <v>37.9</v>
      </c>
      <c r="O407">
        <v>8.1999999999999993</v>
      </c>
      <c r="P407" s="3">
        <f t="shared" si="36"/>
        <v>0.9457900807381775</v>
      </c>
      <c r="Q407">
        <v>31.7</v>
      </c>
      <c r="R407" s="3">
        <f t="shared" si="37"/>
        <v>0.83641160949868076</v>
      </c>
      <c r="S407">
        <v>260</v>
      </c>
      <c r="T407">
        <v>9.0510000000000002</v>
      </c>
      <c r="U407">
        <v>37.81</v>
      </c>
      <c r="V407">
        <v>8.5850000000000009</v>
      </c>
      <c r="W407" s="3">
        <f t="shared" si="38"/>
        <v>0.94851397635620383</v>
      </c>
      <c r="X407">
        <v>30.8</v>
      </c>
      <c r="Y407" s="3">
        <f t="shared" si="39"/>
        <v>0.81459931235122984</v>
      </c>
      <c r="Z407">
        <v>264.39999999999998</v>
      </c>
      <c r="AA407">
        <v>77.3</v>
      </c>
      <c r="AB407">
        <v>24.9</v>
      </c>
      <c r="AC407" t="s">
        <v>64</v>
      </c>
      <c r="AE407" t="s">
        <v>65</v>
      </c>
      <c r="AF407" t="s">
        <v>66</v>
      </c>
      <c r="AG407" s="2">
        <v>44441</v>
      </c>
      <c r="AH407" s="1">
        <v>0.38670138888888889</v>
      </c>
      <c r="AI407" t="s">
        <v>68</v>
      </c>
      <c r="AJ407" t="s">
        <v>69</v>
      </c>
      <c r="AO407">
        <v>7.3</v>
      </c>
      <c r="AP407">
        <v>39.1</v>
      </c>
      <c r="AQ407">
        <v>51.2</v>
      </c>
      <c r="AR407">
        <v>1.8</v>
      </c>
      <c r="AS407">
        <v>35.1</v>
      </c>
      <c r="AT407">
        <v>204.6</v>
      </c>
      <c r="AY407">
        <v>2.36</v>
      </c>
      <c r="AZ407" t="s">
        <v>712</v>
      </c>
      <c r="BB407" t="s">
        <v>712</v>
      </c>
      <c r="BD407" t="s">
        <v>68</v>
      </c>
      <c r="BE407" t="s">
        <v>1774</v>
      </c>
      <c r="BF407" t="s">
        <v>1775</v>
      </c>
      <c r="BG407" t="s">
        <v>1776</v>
      </c>
      <c r="BH407">
        <v>0</v>
      </c>
      <c r="BI407">
        <v>0</v>
      </c>
      <c r="BJ407">
        <v>1</v>
      </c>
      <c r="BK407" t="s">
        <v>1777</v>
      </c>
      <c r="BL407">
        <v>8.8620000000000001</v>
      </c>
      <c r="BN407" t="s">
        <v>1721</v>
      </c>
      <c r="BO407" s="1">
        <v>0.64748842592592593</v>
      </c>
      <c r="BP407" s="3">
        <f t="shared" si="40"/>
        <v>1.0028800213424742</v>
      </c>
      <c r="BQ407" s="3">
        <f t="shared" si="41"/>
        <v>0.9739215753347511</v>
      </c>
    </row>
    <row r="408" spans="1:69" hidden="1" x14ac:dyDescent="0.35">
      <c r="A408">
        <v>406</v>
      </c>
      <c r="B408">
        <v>3436</v>
      </c>
      <c r="D408">
        <v>38</v>
      </c>
      <c r="E408">
        <v>4</v>
      </c>
      <c r="G408">
        <v>16335</v>
      </c>
      <c r="I408" t="s">
        <v>182</v>
      </c>
      <c r="L408" t="s">
        <v>1722</v>
      </c>
      <c r="M408">
        <v>8.67</v>
      </c>
      <c r="N408">
        <v>37.9</v>
      </c>
      <c r="O408">
        <v>8.1999999999999993</v>
      </c>
      <c r="P408" s="3">
        <f t="shared" si="36"/>
        <v>0.9457900807381775</v>
      </c>
      <c r="Q408">
        <v>31.7</v>
      </c>
      <c r="R408" s="3">
        <f t="shared" si="37"/>
        <v>0.83641160949868076</v>
      </c>
      <c r="S408">
        <v>260</v>
      </c>
      <c r="T408">
        <v>9.0429999999999993</v>
      </c>
      <c r="U408">
        <v>37.729999999999997</v>
      </c>
      <c r="V408">
        <v>8.5619999999999994</v>
      </c>
      <c r="W408" s="3">
        <f t="shared" si="38"/>
        <v>0.94680968705075752</v>
      </c>
      <c r="X408">
        <v>30.73</v>
      </c>
      <c r="Y408" s="3">
        <f t="shared" si="39"/>
        <v>0.81447124304267171</v>
      </c>
      <c r="Z408">
        <v>263.10000000000002</v>
      </c>
      <c r="AA408">
        <v>77.099999999999994</v>
      </c>
      <c r="AB408">
        <v>25</v>
      </c>
      <c r="AC408" t="s">
        <v>64</v>
      </c>
      <c r="AE408" t="s">
        <v>65</v>
      </c>
      <c r="AF408" t="s">
        <v>66</v>
      </c>
      <c r="AG408" s="2">
        <v>44441</v>
      </c>
      <c r="AH408" s="1">
        <v>0.39538194444444447</v>
      </c>
      <c r="AI408" t="s">
        <v>68</v>
      </c>
      <c r="AJ408" t="s">
        <v>69</v>
      </c>
      <c r="AO408">
        <v>7.2629999999999999</v>
      </c>
      <c r="AP408">
        <v>38.838000000000001</v>
      </c>
      <c r="AQ408">
        <v>51.2</v>
      </c>
      <c r="AR408">
        <v>1.8149999999999999</v>
      </c>
      <c r="AS408">
        <v>34.747999999999998</v>
      </c>
      <c r="AT408">
        <v>204.6</v>
      </c>
      <c r="AY408">
        <v>2.36</v>
      </c>
      <c r="AZ408" t="s">
        <v>712</v>
      </c>
      <c r="BB408" t="s">
        <v>712</v>
      </c>
      <c r="BD408" t="s">
        <v>68</v>
      </c>
      <c r="BE408" t="s">
        <v>1778</v>
      </c>
      <c r="BF408" t="s">
        <v>1779</v>
      </c>
      <c r="BG408" t="s">
        <v>1780</v>
      </c>
      <c r="BH408">
        <v>0</v>
      </c>
      <c r="BI408">
        <v>0</v>
      </c>
      <c r="BJ408">
        <v>1</v>
      </c>
      <c r="BK408" t="s">
        <v>1781</v>
      </c>
      <c r="BL408">
        <v>8.8620000000000001</v>
      </c>
      <c r="BN408" t="s">
        <v>1727</v>
      </c>
      <c r="BO408" s="1">
        <v>0.7159375</v>
      </c>
      <c r="BP408" s="3">
        <f t="shared" si="40"/>
        <v>1.0010780471622036</v>
      </c>
      <c r="BQ408" s="3">
        <f t="shared" si="41"/>
        <v>0.97376845777026044</v>
      </c>
    </row>
    <row r="409" spans="1:69" hidden="1" x14ac:dyDescent="0.35">
      <c r="A409">
        <v>407</v>
      </c>
      <c r="B409">
        <v>3441</v>
      </c>
      <c r="D409">
        <v>38</v>
      </c>
      <c r="E409">
        <v>4</v>
      </c>
      <c r="G409">
        <v>16335</v>
      </c>
      <c r="I409" t="s">
        <v>182</v>
      </c>
      <c r="L409" t="s">
        <v>1722</v>
      </c>
      <c r="M409">
        <v>8.67</v>
      </c>
      <c r="N409">
        <v>37.9</v>
      </c>
      <c r="O409">
        <v>8.1999999999999993</v>
      </c>
      <c r="P409" s="3">
        <f t="shared" si="36"/>
        <v>0.9457900807381775</v>
      </c>
      <c r="Q409">
        <v>31.7</v>
      </c>
      <c r="R409" s="3">
        <f t="shared" si="37"/>
        <v>0.83641160949868076</v>
      </c>
      <c r="S409">
        <v>260</v>
      </c>
      <c r="T409">
        <v>9.0429999999999993</v>
      </c>
      <c r="U409">
        <v>37.71</v>
      </c>
      <c r="V409">
        <v>8.5619999999999994</v>
      </c>
      <c r="W409" s="3">
        <f t="shared" si="38"/>
        <v>0.94680968705075752</v>
      </c>
      <c r="X409">
        <v>30.71</v>
      </c>
      <c r="Y409" s="3">
        <f t="shared" si="39"/>
        <v>0.81437284539909838</v>
      </c>
      <c r="Z409">
        <v>262.89999999999998</v>
      </c>
      <c r="AA409">
        <v>77.099999999999994</v>
      </c>
      <c r="AB409">
        <v>25.2</v>
      </c>
      <c r="AC409" t="s">
        <v>64</v>
      </c>
      <c r="AE409" t="s">
        <v>65</v>
      </c>
      <c r="AF409" t="s">
        <v>66</v>
      </c>
      <c r="AG409" s="2">
        <v>44441</v>
      </c>
      <c r="AH409" s="1">
        <v>0.39604166666666668</v>
      </c>
      <c r="AI409" t="s">
        <v>68</v>
      </c>
      <c r="AJ409" t="s">
        <v>69</v>
      </c>
      <c r="AO409">
        <v>7.258</v>
      </c>
      <c r="AP409">
        <v>38.726999999999997</v>
      </c>
      <c r="AQ409">
        <v>51.2</v>
      </c>
      <c r="AR409">
        <v>1.8149999999999999</v>
      </c>
      <c r="AS409">
        <v>34.673000000000002</v>
      </c>
      <c r="AT409">
        <v>204.6</v>
      </c>
      <c r="AY409">
        <v>2.36</v>
      </c>
      <c r="AZ409" t="s">
        <v>712</v>
      </c>
      <c r="BB409" t="s">
        <v>712</v>
      </c>
      <c r="BD409" t="s">
        <v>68</v>
      </c>
      <c r="BE409" t="s">
        <v>1782</v>
      </c>
      <c r="BF409" t="s">
        <v>1783</v>
      </c>
      <c r="BG409" t="s">
        <v>1784</v>
      </c>
      <c r="BH409">
        <v>0</v>
      </c>
      <c r="BI409">
        <v>0</v>
      </c>
      <c r="BJ409">
        <v>1</v>
      </c>
      <c r="BK409" t="s">
        <v>1785</v>
      </c>
      <c r="BL409">
        <v>8.8620000000000001</v>
      </c>
      <c r="BN409" t="s">
        <v>1727</v>
      </c>
      <c r="BO409" s="1">
        <v>0.79943287037037036</v>
      </c>
      <c r="BP409" s="3">
        <f t="shared" si="40"/>
        <v>1.0010780471622036</v>
      </c>
      <c r="BQ409" s="3">
        <f t="shared" si="41"/>
        <v>0.97365081516169805</v>
      </c>
    </row>
    <row r="410" spans="1:69" hidden="1" x14ac:dyDescent="0.35">
      <c r="A410">
        <v>408</v>
      </c>
      <c r="B410">
        <v>3865</v>
      </c>
      <c r="D410">
        <v>17</v>
      </c>
      <c r="E410">
        <v>1</v>
      </c>
      <c r="G410">
        <v>17123</v>
      </c>
      <c r="I410" t="s">
        <v>62</v>
      </c>
      <c r="L410" t="s">
        <v>1786</v>
      </c>
      <c r="M410">
        <v>10.19</v>
      </c>
      <c r="N410">
        <v>40.799999999999997</v>
      </c>
      <c r="O410">
        <v>9.6199999999999992</v>
      </c>
      <c r="P410" s="3">
        <f t="shared" si="36"/>
        <v>0.94406280667320897</v>
      </c>
      <c r="Q410">
        <v>33.299999999999997</v>
      </c>
      <c r="R410" s="3">
        <f t="shared" si="37"/>
        <v>0.81617647058823528</v>
      </c>
      <c r="S410">
        <v>320</v>
      </c>
      <c r="T410">
        <v>10.11</v>
      </c>
      <c r="U410">
        <v>40.15</v>
      </c>
      <c r="V410">
        <v>9.625</v>
      </c>
      <c r="W410" s="3">
        <f t="shared" si="38"/>
        <v>0.95202769535113752</v>
      </c>
      <c r="X410">
        <v>32.85</v>
      </c>
      <c r="Y410" s="3">
        <f t="shared" si="39"/>
        <v>0.81818181818181823</v>
      </c>
      <c r="Z410">
        <v>316.2</v>
      </c>
      <c r="AA410">
        <v>77.900000000000006</v>
      </c>
      <c r="AB410">
        <v>25.2</v>
      </c>
      <c r="AC410" t="s">
        <v>64</v>
      </c>
      <c r="AE410" t="s">
        <v>65</v>
      </c>
      <c r="AF410" t="s">
        <v>66</v>
      </c>
      <c r="AG410" s="2">
        <v>44471</v>
      </c>
      <c r="AH410" s="1">
        <v>0.55365740740740743</v>
      </c>
      <c r="AI410" t="s">
        <v>68</v>
      </c>
      <c r="AJ410" t="s">
        <v>69</v>
      </c>
      <c r="AO410">
        <v>8.1</v>
      </c>
      <c r="AP410">
        <v>41.5</v>
      </c>
      <c r="AQ410">
        <v>6.4</v>
      </c>
      <c r="AR410">
        <v>2</v>
      </c>
      <c r="AS410">
        <v>37.799999999999997</v>
      </c>
      <c r="AT410">
        <v>25.6</v>
      </c>
      <c r="AY410">
        <v>2.36</v>
      </c>
      <c r="AZ410" t="s">
        <v>81</v>
      </c>
      <c r="BB410" t="s">
        <v>81</v>
      </c>
      <c r="BD410" t="s">
        <v>68</v>
      </c>
      <c r="BE410" t="s">
        <v>1787</v>
      </c>
      <c r="BF410" t="s">
        <v>1788</v>
      </c>
      <c r="BG410" t="s">
        <v>1789</v>
      </c>
      <c r="BH410">
        <v>0</v>
      </c>
      <c r="BI410">
        <v>1</v>
      </c>
      <c r="BJ410">
        <v>2</v>
      </c>
      <c r="BK410" t="s">
        <v>1790</v>
      </c>
      <c r="BL410">
        <v>8.8620000000000001</v>
      </c>
      <c r="BM410">
        <v>9.2479999999999993</v>
      </c>
      <c r="BN410" t="s">
        <v>1791</v>
      </c>
      <c r="BO410" s="1">
        <v>0.51355324074074071</v>
      </c>
      <c r="BP410" s="3">
        <f t="shared" si="40"/>
        <v>1.008436820751361</v>
      </c>
      <c r="BQ410" s="3">
        <f t="shared" si="41"/>
        <v>1.0024570024570025</v>
      </c>
    </row>
    <row r="411" spans="1:69" hidden="1" x14ac:dyDescent="0.35">
      <c r="A411">
        <v>409</v>
      </c>
      <c r="B411">
        <v>3865</v>
      </c>
      <c r="D411">
        <v>17</v>
      </c>
      <c r="E411">
        <v>1</v>
      </c>
      <c r="G411">
        <v>17123</v>
      </c>
      <c r="I411" t="s">
        <v>62</v>
      </c>
      <c r="L411" t="s">
        <v>1792</v>
      </c>
      <c r="M411">
        <v>10.19</v>
      </c>
      <c r="N411">
        <v>40.799999999999997</v>
      </c>
      <c r="O411">
        <v>9.6199999999999992</v>
      </c>
      <c r="P411" s="3">
        <f t="shared" si="36"/>
        <v>0.94406280667320897</v>
      </c>
      <c r="Q411">
        <v>33.299999999999997</v>
      </c>
      <c r="R411" s="3">
        <f t="shared" si="37"/>
        <v>0.81617647058823528</v>
      </c>
      <c r="S411">
        <v>320</v>
      </c>
      <c r="T411">
        <v>10.119999999999999</v>
      </c>
      <c r="U411">
        <v>40.22</v>
      </c>
      <c r="V411">
        <v>9.6329999999999991</v>
      </c>
      <c r="W411" s="3">
        <f t="shared" si="38"/>
        <v>0.95187747035573123</v>
      </c>
      <c r="X411">
        <v>32.97</v>
      </c>
      <c r="Y411" s="3">
        <f t="shared" si="39"/>
        <v>0.81974142217802093</v>
      </c>
      <c r="Z411">
        <v>317.60000000000002</v>
      </c>
      <c r="AA411">
        <v>78.099999999999994</v>
      </c>
      <c r="AB411">
        <v>24.8</v>
      </c>
      <c r="AC411" t="s">
        <v>64</v>
      </c>
      <c r="AE411" t="s">
        <v>65</v>
      </c>
      <c r="AF411" t="s">
        <v>66</v>
      </c>
      <c r="AG411" t="s">
        <v>705</v>
      </c>
      <c r="AH411" s="1">
        <v>0.49592592592592594</v>
      </c>
      <c r="AI411" t="s">
        <v>68</v>
      </c>
      <c r="AJ411" t="s">
        <v>69</v>
      </c>
      <c r="AO411">
        <v>8.0920000000000005</v>
      </c>
      <c r="AP411">
        <v>41.728999999999999</v>
      </c>
      <c r="AQ411">
        <v>6.4</v>
      </c>
      <c r="AR411">
        <v>2.0249999999999999</v>
      </c>
      <c r="AS411">
        <v>38.014000000000003</v>
      </c>
      <c r="AT411">
        <v>25.6</v>
      </c>
      <c r="AY411">
        <v>2.36</v>
      </c>
      <c r="AZ411" t="s">
        <v>428</v>
      </c>
      <c r="BB411" t="s">
        <v>428</v>
      </c>
      <c r="BD411" t="s">
        <v>68</v>
      </c>
      <c r="BE411" t="s">
        <v>1793</v>
      </c>
      <c r="BF411" t="s">
        <v>1794</v>
      </c>
      <c r="BG411" t="s">
        <v>1795</v>
      </c>
      <c r="BH411">
        <v>0</v>
      </c>
      <c r="BI411">
        <v>0</v>
      </c>
      <c r="BJ411">
        <v>2</v>
      </c>
      <c r="BK411" t="s">
        <v>1796</v>
      </c>
      <c r="BL411">
        <v>8.8620000000000001</v>
      </c>
      <c r="BM411">
        <v>9.2479999999999993</v>
      </c>
      <c r="BN411" t="s">
        <v>1791</v>
      </c>
      <c r="BO411" s="1">
        <v>0.51355324074074071</v>
      </c>
      <c r="BP411" s="3">
        <f t="shared" si="40"/>
        <v>1.0082776946907381</v>
      </c>
      <c r="BQ411" s="3">
        <f t="shared" si="41"/>
        <v>1.0043678686145121</v>
      </c>
    </row>
    <row r="412" spans="1:69" hidden="1" x14ac:dyDescent="0.35">
      <c r="A412">
        <v>410</v>
      </c>
      <c r="B412">
        <v>3873</v>
      </c>
      <c r="D412">
        <v>17</v>
      </c>
      <c r="E412">
        <v>1</v>
      </c>
      <c r="G412">
        <v>17123</v>
      </c>
      <c r="I412" t="s">
        <v>62</v>
      </c>
      <c r="L412" t="s">
        <v>1786</v>
      </c>
      <c r="M412">
        <v>10.19</v>
      </c>
      <c r="N412">
        <v>40.799999999999997</v>
      </c>
      <c r="O412">
        <v>9.6199999999999992</v>
      </c>
      <c r="P412" s="3">
        <f t="shared" si="36"/>
        <v>0.94406280667320897</v>
      </c>
      <c r="Q412">
        <v>33.299999999999997</v>
      </c>
      <c r="R412" s="3">
        <f t="shared" si="37"/>
        <v>0.81617647058823528</v>
      </c>
      <c r="S412">
        <v>320</v>
      </c>
      <c r="T412">
        <v>10.1</v>
      </c>
      <c r="U412">
        <v>40.090000000000003</v>
      </c>
      <c r="V412">
        <v>9.64</v>
      </c>
      <c r="W412" s="3">
        <f t="shared" si="38"/>
        <v>0.95445544554455453</v>
      </c>
      <c r="X412">
        <v>32.74</v>
      </c>
      <c r="Y412" s="3">
        <f t="shared" si="39"/>
        <v>0.81666250935395357</v>
      </c>
      <c r="Z412">
        <v>315.60000000000002</v>
      </c>
      <c r="AA412">
        <v>77.900000000000006</v>
      </c>
      <c r="AB412">
        <v>25.3</v>
      </c>
      <c r="AC412" t="s">
        <v>64</v>
      </c>
      <c r="AE412" t="s">
        <v>65</v>
      </c>
      <c r="AF412" t="s">
        <v>66</v>
      </c>
      <c r="AG412" s="2">
        <v>44471</v>
      </c>
      <c r="AH412" s="1">
        <v>0.55859953703703702</v>
      </c>
      <c r="AI412" t="s">
        <v>68</v>
      </c>
      <c r="AJ412" t="s">
        <v>69</v>
      </c>
      <c r="AO412">
        <v>8.1</v>
      </c>
      <c r="AP412">
        <v>41.5</v>
      </c>
      <c r="AQ412">
        <v>6.4</v>
      </c>
      <c r="AR412">
        <v>2</v>
      </c>
      <c r="AS412">
        <v>37.700000000000003</v>
      </c>
      <c r="AT412">
        <v>25.6</v>
      </c>
      <c r="AY412">
        <v>2.36</v>
      </c>
      <c r="AZ412" t="s">
        <v>81</v>
      </c>
      <c r="BB412" t="s">
        <v>81</v>
      </c>
      <c r="BD412" t="s">
        <v>68</v>
      </c>
      <c r="BE412" t="s">
        <v>1797</v>
      </c>
      <c r="BF412" t="s">
        <v>1798</v>
      </c>
      <c r="BG412" t="s">
        <v>1799</v>
      </c>
      <c r="BH412">
        <v>0</v>
      </c>
      <c r="BI412">
        <v>0</v>
      </c>
      <c r="BJ412">
        <v>1</v>
      </c>
      <c r="BK412" t="s">
        <v>1800</v>
      </c>
      <c r="BL412">
        <v>8.8620000000000001</v>
      </c>
      <c r="BM412">
        <v>9.2479999999999993</v>
      </c>
      <c r="BN412" t="s">
        <v>1791</v>
      </c>
      <c r="BO412" s="1">
        <v>0.64520833333333338</v>
      </c>
      <c r="BP412" s="3">
        <f t="shared" si="40"/>
        <v>1.0110084189292112</v>
      </c>
      <c r="BQ412" s="3">
        <f t="shared" si="41"/>
        <v>1.0005955069561954</v>
      </c>
    </row>
    <row r="413" spans="1:69" hidden="1" x14ac:dyDescent="0.35">
      <c r="A413">
        <v>411</v>
      </c>
      <c r="B413">
        <v>3858</v>
      </c>
      <c r="D413">
        <v>17</v>
      </c>
      <c r="E413">
        <v>1</v>
      </c>
      <c r="G413">
        <v>17123</v>
      </c>
      <c r="I413" t="s">
        <v>62</v>
      </c>
      <c r="L413" t="s">
        <v>1786</v>
      </c>
      <c r="M413">
        <v>10.19</v>
      </c>
      <c r="N413">
        <v>40.799999999999997</v>
      </c>
      <c r="O413">
        <v>9.6199999999999992</v>
      </c>
      <c r="P413" s="3">
        <f t="shared" si="36"/>
        <v>0.94406280667320897</v>
      </c>
      <c r="Q413">
        <v>33.299999999999997</v>
      </c>
      <c r="R413" s="3">
        <f t="shared" si="37"/>
        <v>0.81617647058823528</v>
      </c>
      <c r="S413">
        <v>320</v>
      </c>
      <c r="T413">
        <v>10.15</v>
      </c>
      <c r="U413">
        <v>40.04</v>
      </c>
      <c r="V413">
        <v>9.6300000000000008</v>
      </c>
      <c r="W413" s="3">
        <f t="shared" si="38"/>
        <v>0.94876847290640398</v>
      </c>
      <c r="X413">
        <v>32.67</v>
      </c>
      <c r="Y413" s="3">
        <f t="shared" si="39"/>
        <v>0.81593406593406603</v>
      </c>
      <c r="Z413">
        <v>314.60000000000002</v>
      </c>
      <c r="AA413">
        <v>77.400000000000006</v>
      </c>
      <c r="AB413">
        <v>25.2</v>
      </c>
      <c r="AC413" t="s">
        <v>64</v>
      </c>
      <c r="AE413" t="s">
        <v>65</v>
      </c>
      <c r="AF413" t="s">
        <v>66</v>
      </c>
      <c r="AG413" s="2">
        <v>44471</v>
      </c>
      <c r="AH413" s="1">
        <v>0.55521990740740745</v>
      </c>
      <c r="AI413" t="s">
        <v>68</v>
      </c>
      <c r="AJ413" t="s">
        <v>69</v>
      </c>
      <c r="AO413">
        <v>8.1</v>
      </c>
      <c r="AP413">
        <v>41.4</v>
      </c>
      <c r="AQ413">
        <v>6.4</v>
      </c>
      <c r="AR413">
        <v>2</v>
      </c>
      <c r="AS413">
        <v>37.700000000000003</v>
      </c>
      <c r="AT413">
        <v>25.6</v>
      </c>
      <c r="AY413">
        <v>2.36</v>
      </c>
      <c r="AZ413" t="s">
        <v>81</v>
      </c>
      <c r="BB413" t="s">
        <v>81</v>
      </c>
      <c r="BD413" t="s">
        <v>68</v>
      </c>
      <c r="BE413" t="s">
        <v>1801</v>
      </c>
      <c r="BF413" t="s">
        <v>1802</v>
      </c>
      <c r="BG413" t="s">
        <v>1803</v>
      </c>
      <c r="BH413">
        <v>0</v>
      </c>
      <c r="BI413">
        <v>1</v>
      </c>
      <c r="BJ413">
        <v>2</v>
      </c>
      <c r="BK413" t="s">
        <v>1804</v>
      </c>
      <c r="BL413">
        <v>8.8620000000000001</v>
      </c>
      <c r="BM413">
        <v>9.2479999999999993</v>
      </c>
      <c r="BN413" t="s">
        <v>1791</v>
      </c>
      <c r="BO413" s="1">
        <v>0.39064814814814813</v>
      </c>
      <c r="BP413" s="3">
        <f t="shared" si="40"/>
        <v>1.0049844842948292</v>
      </c>
      <c r="BQ413" s="3">
        <f t="shared" si="41"/>
        <v>0.99970299970299981</v>
      </c>
    </row>
    <row r="414" spans="1:69" hidden="1" x14ac:dyDescent="0.35">
      <c r="A414">
        <v>412</v>
      </c>
      <c r="B414">
        <v>3858</v>
      </c>
      <c r="D414">
        <v>17</v>
      </c>
      <c r="E414">
        <v>1</v>
      </c>
      <c r="G414">
        <v>17123</v>
      </c>
      <c r="I414" t="s">
        <v>62</v>
      </c>
      <c r="L414" t="s">
        <v>1792</v>
      </c>
      <c r="M414">
        <v>10.19</v>
      </c>
      <c r="N414">
        <v>40.799999999999997</v>
      </c>
      <c r="O414">
        <v>9.6199999999999992</v>
      </c>
      <c r="P414" s="3">
        <f t="shared" si="36"/>
        <v>0.94406280667320897</v>
      </c>
      <c r="Q414">
        <v>33.299999999999997</v>
      </c>
      <c r="R414" s="3">
        <f t="shared" si="37"/>
        <v>0.81617647058823528</v>
      </c>
      <c r="S414">
        <v>320</v>
      </c>
      <c r="T414">
        <v>10.16</v>
      </c>
      <c r="U414">
        <v>40.11</v>
      </c>
      <c r="V414">
        <v>9.6460000000000008</v>
      </c>
      <c r="W414" s="3">
        <f t="shared" si="38"/>
        <v>0.94940944881889766</v>
      </c>
      <c r="X414">
        <v>32.770000000000003</v>
      </c>
      <c r="Y414" s="3">
        <f t="shared" si="39"/>
        <v>0.81700324108701083</v>
      </c>
      <c r="Z414">
        <v>316.10000000000002</v>
      </c>
      <c r="AA414">
        <v>77.599999999999994</v>
      </c>
      <c r="AB414">
        <v>24.9</v>
      </c>
      <c r="AC414" t="s">
        <v>64</v>
      </c>
      <c r="AE414" t="s">
        <v>65</v>
      </c>
      <c r="AF414" t="s">
        <v>66</v>
      </c>
      <c r="AG414" t="s">
        <v>705</v>
      </c>
      <c r="AH414" s="1">
        <v>0.48170138888888892</v>
      </c>
      <c r="AI414" t="s">
        <v>68</v>
      </c>
      <c r="AJ414" t="s">
        <v>69</v>
      </c>
      <c r="AO414">
        <v>8.093</v>
      </c>
      <c r="AP414">
        <v>41.692</v>
      </c>
      <c r="AQ414">
        <v>6.4</v>
      </c>
      <c r="AR414">
        <v>2.02</v>
      </c>
      <c r="AS414">
        <v>37.939</v>
      </c>
      <c r="AT414">
        <v>35.6</v>
      </c>
      <c r="AY414">
        <v>2.36</v>
      </c>
      <c r="AZ414" t="s">
        <v>428</v>
      </c>
      <c r="BB414" t="s">
        <v>428</v>
      </c>
      <c r="BD414" t="s">
        <v>68</v>
      </c>
      <c r="BE414" t="s">
        <v>1805</v>
      </c>
      <c r="BF414" t="s">
        <v>1806</v>
      </c>
      <c r="BG414" t="s">
        <v>1807</v>
      </c>
      <c r="BH414">
        <v>0</v>
      </c>
      <c r="BI414">
        <v>0</v>
      </c>
      <c r="BJ414">
        <v>2</v>
      </c>
      <c r="BK414" t="s">
        <v>1808</v>
      </c>
      <c r="BL414">
        <v>8.8620000000000001</v>
      </c>
      <c r="BM414">
        <v>9.2479999999999993</v>
      </c>
      <c r="BN414" t="s">
        <v>1791</v>
      </c>
      <c r="BO414" s="1">
        <v>0.39064814814814813</v>
      </c>
      <c r="BP414" s="3">
        <f t="shared" si="40"/>
        <v>1.0056634390295809</v>
      </c>
      <c r="BQ414" s="3">
        <f t="shared" si="41"/>
        <v>1.0010129800705718</v>
      </c>
    </row>
    <row r="415" spans="1:69" hidden="1" x14ac:dyDescent="0.35">
      <c r="A415">
        <v>413</v>
      </c>
      <c r="B415">
        <v>3874</v>
      </c>
      <c r="D415">
        <v>17</v>
      </c>
      <c r="E415">
        <v>1</v>
      </c>
      <c r="G415">
        <v>17123</v>
      </c>
      <c r="I415" t="s">
        <v>62</v>
      </c>
      <c r="L415" t="s">
        <v>1786</v>
      </c>
      <c r="M415">
        <v>10.19</v>
      </c>
      <c r="N415">
        <v>40.799999999999997</v>
      </c>
      <c r="O415">
        <v>9.6199999999999992</v>
      </c>
      <c r="P415" s="3">
        <f t="shared" si="36"/>
        <v>0.94406280667320897</v>
      </c>
      <c r="Q415">
        <v>33.299999999999997</v>
      </c>
      <c r="R415" s="3">
        <f t="shared" si="37"/>
        <v>0.81617647058823528</v>
      </c>
      <c r="S415">
        <v>320</v>
      </c>
      <c r="T415">
        <v>10.09</v>
      </c>
      <c r="U415">
        <v>40.14</v>
      </c>
      <c r="V415">
        <v>9.6159999999999997</v>
      </c>
      <c r="W415" s="3">
        <f t="shared" si="38"/>
        <v>0.95302279484638253</v>
      </c>
      <c r="X415">
        <v>32.799999999999997</v>
      </c>
      <c r="Y415" s="3">
        <f t="shared" si="39"/>
        <v>0.81714000996512204</v>
      </c>
      <c r="Z415">
        <v>315.39999999999998</v>
      </c>
      <c r="AA415">
        <v>77.900000000000006</v>
      </c>
      <c r="AB415">
        <v>25.2</v>
      </c>
      <c r="AC415" t="s">
        <v>64</v>
      </c>
      <c r="AE415" t="s">
        <v>65</v>
      </c>
      <c r="AF415" t="s">
        <v>66</v>
      </c>
      <c r="AG415" s="2">
        <v>44471</v>
      </c>
      <c r="AH415" s="1">
        <v>0.55921296296296297</v>
      </c>
      <c r="AI415" t="s">
        <v>68</v>
      </c>
      <c r="AJ415" t="s">
        <v>69</v>
      </c>
      <c r="AO415">
        <v>8.1</v>
      </c>
      <c r="AP415">
        <v>41.6</v>
      </c>
      <c r="AQ415">
        <v>6.4</v>
      </c>
      <c r="AR415">
        <v>2</v>
      </c>
      <c r="AS415">
        <v>37.9</v>
      </c>
      <c r="AT415">
        <v>25.6</v>
      </c>
      <c r="AY415">
        <v>2.36</v>
      </c>
      <c r="AZ415" t="s">
        <v>81</v>
      </c>
      <c r="BB415" t="s">
        <v>81</v>
      </c>
      <c r="BD415" t="s">
        <v>68</v>
      </c>
      <c r="BE415" t="s">
        <v>1809</v>
      </c>
      <c r="BF415" t="s">
        <v>1810</v>
      </c>
      <c r="BG415" t="s">
        <v>1811</v>
      </c>
      <c r="BH415">
        <v>0</v>
      </c>
      <c r="BI415">
        <v>1</v>
      </c>
      <c r="BJ415">
        <v>2</v>
      </c>
      <c r="BK415" t="s">
        <v>1812</v>
      </c>
      <c r="BL415">
        <v>8.8620000000000001</v>
      </c>
      <c r="BM415">
        <v>9.2479999999999993</v>
      </c>
      <c r="BN415" t="s">
        <v>1791</v>
      </c>
      <c r="BO415" s="1">
        <v>0.65153935185185186</v>
      </c>
      <c r="BP415" s="3">
        <f t="shared" si="40"/>
        <v>1.0094908814433097</v>
      </c>
      <c r="BQ415" s="3">
        <f t="shared" si="41"/>
        <v>1.0011805527500595</v>
      </c>
    </row>
    <row r="416" spans="1:69" hidden="1" x14ac:dyDescent="0.35">
      <c r="A416">
        <v>414</v>
      </c>
      <c r="B416">
        <v>3874</v>
      </c>
      <c r="D416">
        <v>17</v>
      </c>
      <c r="E416">
        <v>1</v>
      </c>
      <c r="G416">
        <v>17123</v>
      </c>
      <c r="I416" t="s">
        <v>62</v>
      </c>
      <c r="L416" t="s">
        <v>1792</v>
      </c>
      <c r="M416">
        <v>10.19</v>
      </c>
      <c r="N416">
        <v>40.799999999999997</v>
      </c>
      <c r="O416">
        <v>9.6199999999999992</v>
      </c>
      <c r="P416" s="3">
        <f t="shared" si="36"/>
        <v>0.94406280667320897</v>
      </c>
      <c r="Q416">
        <v>33.299999999999997</v>
      </c>
      <c r="R416" s="3">
        <f t="shared" si="37"/>
        <v>0.81617647058823528</v>
      </c>
      <c r="S416">
        <v>320</v>
      </c>
      <c r="T416">
        <v>10.1</v>
      </c>
      <c r="U416">
        <v>40.200000000000003</v>
      </c>
      <c r="V416">
        <v>9.6270000000000007</v>
      </c>
      <c r="W416" s="3">
        <f t="shared" si="38"/>
        <v>0.95316831683168324</v>
      </c>
      <c r="X416">
        <v>32.92</v>
      </c>
      <c r="Y416" s="3">
        <f t="shared" si="39"/>
        <v>0.8189054726368159</v>
      </c>
      <c r="Z416">
        <v>317</v>
      </c>
      <c r="AA416">
        <v>78.099999999999994</v>
      </c>
      <c r="AB416">
        <v>24.8</v>
      </c>
      <c r="AC416" t="s">
        <v>64</v>
      </c>
      <c r="AE416" t="s">
        <v>65</v>
      </c>
      <c r="AF416" t="s">
        <v>66</v>
      </c>
      <c r="AG416" t="s">
        <v>705</v>
      </c>
      <c r="AH416" s="1">
        <v>0.47440972222222222</v>
      </c>
      <c r="AI416" t="s">
        <v>68</v>
      </c>
      <c r="AJ416" t="s">
        <v>69</v>
      </c>
      <c r="AO416">
        <v>8.0920000000000005</v>
      </c>
      <c r="AP416">
        <v>41.728999999999999</v>
      </c>
      <c r="AQ416">
        <v>6.4</v>
      </c>
      <c r="AR416">
        <v>2.02</v>
      </c>
      <c r="AS416">
        <v>38.014000000000003</v>
      </c>
      <c r="AT416">
        <v>25.6</v>
      </c>
      <c r="AY416">
        <v>2.36</v>
      </c>
      <c r="AZ416" t="s">
        <v>428</v>
      </c>
      <c r="BB416" t="s">
        <v>428</v>
      </c>
      <c r="BD416" t="s">
        <v>68</v>
      </c>
      <c r="BE416" t="s">
        <v>1813</v>
      </c>
      <c r="BF416" t="s">
        <v>1814</v>
      </c>
      <c r="BG416" t="s">
        <v>1815</v>
      </c>
      <c r="BH416">
        <v>0</v>
      </c>
      <c r="BI416">
        <v>0</v>
      </c>
      <c r="BJ416">
        <v>2</v>
      </c>
      <c r="BK416" t="s">
        <v>1816</v>
      </c>
      <c r="BL416">
        <v>8.8620000000000001</v>
      </c>
      <c r="BM416">
        <v>9.2479999999999993</v>
      </c>
      <c r="BN416" t="s">
        <v>1791</v>
      </c>
      <c r="BO416" s="1">
        <v>0.65153935185185186</v>
      </c>
      <c r="BP416" s="3">
        <f t="shared" si="40"/>
        <v>1.0096450258331449</v>
      </c>
      <c r="BQ416" s="3">
        <f t="shared" si="41"/>
        <v>1.0033436421496122</v>
      </c>
    </row>
    <row r="417" spans="1:69" hidden="1" x14ac:dyDescent="0.35">
      <c r="A417">
        <v>415</v>
      </c>
      <c r="B417">
        <v>3870</v>
      </c>
      <c r="D417">
        <v>17</v>
      </c>
      <c r="E417">
        <v>1</v>
      </c>
      <c r="G417">
        <v>17123</v>
      </c>
      <c r="I417" t="s">
        <v>62</v>
      </c>
      <c r="L417" t="s">
        <v>1786</v>
      </c>
      <c r="M417">
        <v>10.19</v>
      </c>
      <c r="N417">
        <v>40.799999999999997</v>
      </c>
      <c r="O417">
        <v>9.6199999999999992</v>
      </c>
      <c r="P417" s="3">
        <f t="shared" si="36"/>
        <v>0.94406280667320897</v>
      </c>
      <c r="Q417">
        <v>33.299999999999997</v>
      </c>
      <c r="R417" s="3">
        <f t="shared" si="37"/>
        <v>0.81617647058823528</v>
      </c>
      <c r="S417">
        <v>320</v>
      </c>
      <c r="T417">
        <v>10.1</v>
      </c>
      <c r="U417">
        <v>40.090000000000003</v>
      </c>
      <c r="V417">
        <v>9.625</v>
      </c>
      <c r="W417" s="3">
        <f t="shared" si="38"/>
        <v>0.95297029702970304</v>
      </c>
      <c r="X417">
        <v>32.74</v>
      </c>
      <c r="Y417" s="3">
        <f t="shared" si="39"/>
        <v>0.81666250935395357</v>
      </c>
      <c r="Z417">
        <v>315.10000000000002</v>
      </c>
      <c r="AA417">
        <v>77.900000000000006</v>
      </c>
      <c r="AB417">
        <v>25.2</v>
      </c>
      <c r="AC417" t="s">
        <v>64</v>
      </c>
      <c r="AE417" t="s">
        <v>65</v>
      </c>
      <c r="AF417" t="s">
        <v>66</v>
      </c>
      <c r="AG417" s="2">
        <v>44471</v>
      </c>
      <c r="AH417" s="1">
        <v>0.55781250000000004</v>
      </c>
      <c r="AI417" t="s">
        <v>68</v>
      </c>
      <c r="AJ417" t="s">
        <v>69</v>
      </c>
      <c r="AO417">
        <v>8.1</v>
      </c>
      <c r="AP417">
        <v>41.4</v>
      </c>
      <c r="AQ417">
        <v>6.4</v>
      </c>
      <c r="AR417">
        <v>2</v>
      </c>
      <c r="AS417">
        <v>37.700000000000003</v>
      </c>
      <c r="AT417">
        <v>25.6</v>
      </c>
      <c r="AY417">
        <v>2.36</v>
      </c>
      <c r="AZ417" t="s">
        <v>81</v>
      </c>
      <c r="BB417" t="s">
        <v>81</v>
      </c>
      <c r="BD417" t="s">
        <v>68</v>
      </c>
      <c r="BE417" t="s">
        <v>1817</v>
      </c>
      <c r="BF417" t="s">
        <v>1818</v>
      </c>
      <c r="BG417" t="s">
        <v>1819</v>
      </c>
      <c r="BH417">
        <v>0</v>
      </c>
      <c r="BI417">
        <v>1</v>
      </c>
      <c r="BJ417">
        <v>2</v>
      </c>
      <c r="BK417" t="s">
        <v>1820</v>
      </c>
      <c r="BL417">
        <v>8.8620000000000001</v>
      </c>
      <c r="BM417">
        <v>9.2479999999999993</v>
      </c>
      <c r="BN417" t="s">
        <v>1791</v>
      </c>
      <c r="BO417" s="1">
        <v>0.56314814814814818</v>
      </c>
      <c r="BP417" s="3">
        <f t="shared" si="40"/>
        <v>1.0094352730491345</v>
      </c>
      <c r="BQ417" s="3">
        <f t="shared" si="41"/>
        <v>1.0005955069561954</v>
      </c>
    </row>
    <row r="418" spans="1:69" hidden="1" x14ac:dyDescent="0.35">
      <c r="A418">
        <v>416</v>
      </c>
      <c r="B418">
        <v>3870</v>
      </c>
      <c r="D418">
        <v>17</v>
      </c>
      <c r="E418">
        <v>1</v>
      </c>
      <c r="G418">
        <v>17123</v>
      </c>
      <c r="I418" t="s">
        <v>62</v>
      </c>
      <c r="L418" t="s">
        <v>1792</v>
      </c>
      <c r="M418">
        <v>10.19</v>
      </c>
      <c r="N418">
        <v>40.799999999999997</v>
      </c>
      <c r="O418">
        <v>9.6199999999999992</v>
      </c>
      <c r="P418" s="3">
        <f t="shared" si="36"/>
        <v>0.94406280667320897</v>
      </c>
      <c r="Q418">
        <v>33.299999999999997</v>
      </c>
      <c r="R418" s="3">
        <f t="shared" si="37"/>
        <v>0.81617647058823528</v>
      </c>
      <c r="S418">
        <v>320</v>
      </c>
      <c r="T418">
        <v>10.1</v>
      </c>
      <c r="U418">
        <v>40.15</v>
      </c>
      <c r="V418">
        <v>9.64</v>
      </c>
      <c r="W418" s="3">
        <f t="shared" si="38"/>
        <v>0.95445544554455453</v>
      </c>
      <c r="X418">
        <v>32.880000000000003</v>
      </c>
      <c r="Y418" s="3">
        <f t="shared" si="39"/>
        <v>0.81892901618929026</v>
      </c>
      <c r="Z418">
        <v>317</v>
      </c>
      <c r="AA418">
        <v>78.2</v>
      </c>
      <c r="AB418">
        <v>24.9</v>
      </c>
      <c r="AC418" t="s">
        <v>64</v>
      </c>
      <c r="AE418" t="s">
        <v>65</v>
      </c>
      <c r="AF418" t="s">
        <v>66</v>
      </c>
      <c r="AG418" t="s">
        <v>705</v>
      </c>
      <c r="AH418" s="1">
        <v>0.47737268518518516</v>
      </c>
      <c r="AI418" t="s">
        <v>68</v>
      </c>
      <c r="AJ418" t="s">
        <v>69</v>
      </c>
      <c r="AO418">
        <v>8.0920000000000005</v>
      </c>
      <c r="AP418">
        <v>41.728999999999999</v>
      </c>
      <c r="AQ418">
        <v>6.4</v>
      </c>
      <c r="AR418">
        <v>2.0249999999999999</v>
      </c>
      <c r="AS418">
        <v>38.014000000000003</v>
      </c>
      <c r="AT418">
        <v>25.6</v>
      </c>
      <c r="AY418">
        <v>2.36</v>
      </c>
      <c r="AZ418" t="s">
        <v>428</v>
      </c>
      <c r="BB418" t="s">
        <v>428</v>
      </c>
      <c r="BD418" t="s">
        <v>68</v>
      </c>
      <c r="BE418" t="s">
        <v>1821</v>
      </c>
      <c r="BF418" t="s">
        <v>1822</v>
      </c>
      <c r="BG418" t="s">
        <v>1823</v>
      </c>
      <c r="BH418">
        <v>0</v>
      </c>
      <c r="BI418">
        <v>0</v>
      </c>
      <c r="BJ418">
        <v>2</v>
      </c>
      <c r="BK418" t="s">
        <v>1824</v>
      </c>
      <c r="BL418">
        <v>8.8620000000000001</v>
      </c>
      <c r="BM418">
        <v>9.2479999999999993</v>
      </c>
      <c r="BN418" t="s">
        <v>1791</v>
      </c>
      <c r="BO418" s="1">
        <v>0.56314814814814818</v>
      </c>
      <c r="BP418" s="3">
        <f t="shared" si="40"/>
        <v>1.0110084189292112</v>
      </c>
      <c r="BQ418" s="3">
        <f t="shared" si="41"/>
        <v>1.0033724883039954</v>
      </c>
    </row>
    <row r="419" spans="1:69" hidden="1" x14ac:dyDescent="0.35">
      <c r="A419">
        <v>417</v>
      </c>
      <c r="B419">
        <v>3868</v>
      </c>
      <c r="D419">
        <v>17</v>
      </c>
      <c r="E419">
        <v>1</v>
      </c>
      <c r="G419">
        <v>17123</v>
      </c>
      <c r="I419" t="s">
        <v>62</v>
      </c>
      <c r="L419" t="s">
        <v>1786</v>
      </c>
      <c r="M419">
        <v>10.19</v>
      </c>
      <c r="N419">
        <v>40.799999999999997</v>
      </c>
      <c r="O419">
        <v>9.6199999999999992</v>
      </c>
      <c r="P419" s="3">
        <f t="shared" si="36"/>
        <v>0.94406280667320897</v>
      </c>
      <c r="Q419">
        <v>33.299999999999997</v>
      </c>
      <c r="R419" s="3">
        <f t="shared" si="37"/>
        <v>0.81617647058823528</v>
      </c>
      <c r="S419">
        <v>320</v>
      </c>
      <c r="T419">
        <v>10.16</v>
      </c>
      <c r="U419">
        <v>40.17</v>
      </c>
      <c r="V419">
        <v>9.6660000000000004</v>
      </c>
      <c r="W419" s="3">
        <f t="shared" si="38"/>
        <v>0.95137795275590553</v>
      </c>
      <c r="X419">
        <v>32.81</v>
      </c>
      <c r="Y419" s="3">
        <f t="shared" si="39"/>
        <v>0.81677869056509833</v>
      </c>
      <c r="Z419">
        <v>317.10000000000002</v>
      </c>
      <c r="AA419">
        <v>77.7</v>
      </c>
      <c r="AB419">
        <v>25</v>
      </c>
      <c r="AC419" t="s">
        <v>64</v>
      </c>
      <c r="AE419" t="s">
        <v>65</v>
      </c>
      <c r="AF419" t="s">
        <v>66</v>
      </c>
      <c r="AG419" s="2">
        <v>44471</v>
      </c>
      <c r="AH419" s="1">
        <v>0.54865740740740743</v>
      </c>
      <c r="AI419" t="s">
        <v>68</v>
      </c>
      <c r="AJ419" t="s">
        <v>69</v>
      </c>
      <c r="AO419">
        <v>8.1</v>
      </c>
      <c r="AP419">
        <v>41.3</v>
      </c>
      <c r="AQ419">
        <v>6.4</v>
      </c>
      <c r="AR419">
        <v>2</v>
      </c>
      <c r="AS419">
        <v>37.6</v>
      </c>
      <c r="AT419">
        <v>25.6</v>
      </c>
      <c r="AY419">
        <v>2.36</v>
      </c>
      <c r="AZ419" t="s">
        <v>81</v>
      </c>
      <c r="BB419" t="s">
        <v>81</v>
      </c>
      <c r="BD419" t="s">
        <v>68</v>
      </c>
      <c r="BE419" t="s">
        <v>1825</v>
      </c>
      <c r="BF419" t="s">
        <v>1826</v>
      </c>
      <c r="BG419" t="s">
        <v>1827</v>
      </c>
      <c r="BH419">
        <v>0</v>
      </c>
      <c r="BI419">
        <v>1</v>
      </c>
      <c r="BJ419">
        <v>2</v>
      </c>
      <c r="BK419" t="s">
        <v>1828</v>
      </c>
      <c r="BL419">
        <v>8.8620000000000001</v>
      </c>
      <c r="BM419">
        <v>9.2479999999999993</v>
      </c>
      <c r="BN419" t="s">
        <v>1791</v>
      </c>
      <c r="BO419" s="1">
        <v>0.541875</v>
      </c>
      <c r="BP419" s="3">
        <f t="shared" si="40"/>
        <v>1.0077485798942494</v>
      </c>
      <c r="BQ419" s="3">
        <f t="shared" si="41"/>
        <v>1.0007378551067871</v>
      </c>
    </row>
    <row r="420" spans="1:69" hidden="1" x14ac:dyDescent="0.35">
      <c r="A420">
        <v>418</v>
      </c>
      <c r="B420">
        <v>3868</v>
      </c>
      <c r="D420">
        <v>17</v>
      </c>
      <c r="E420">
        <v>1</v>
      </c>
      <c r="G420">
        <v>17123</v>
      </c>
      <c r="I420" t="s">
        <v>62</v>
      </c>
      <c r="L420" t="s">
        <v>1792</v>
      </c>
      <c r="M420">
        <v>10.19</v>
      </c>
      <c r="N420">
        <v>40.799999999999997</v>
      </c>
      <c r="O420">
        <v>9.6199999999999992</v>
      </c>
      <c r="P420" s="3">
        <f t="shared" si="36"/>
        <v>0.94406280667320897</v>
      </c>
      <c r="Q420">
        <v>33.299999999999997</v>
      </c>
      <c r="R420" s="3">
        <f t="shared" si="37"/>
        <v>0.81617647058823528</v>
      </c>
      <c r="S420">
        <v>320</v>
      </c>
      <c r="T420">
        <v>10.08</v>
      </c>
      <c r="U420">
        <v>40.36</v>
      </c>
      <c r="V420">
        <v>9.6180000000000003</v>
      </c>
      <c r="W420" s="3">
        <f t="shared" si="38"/>
        <v>0.95416666666666672</v>
      </c>
      <c r="X420">
        <v>33.04</v>
      </c>
      <c r="Y420" s="3">
        <f t="shared" si="39"/>
        <v>0.81863230921704655</v>
      </c>
      <c r="Z420">
        <v>317.7</v>
      </c>
      <c r="AA420">
        <v>78.099999999999994</v>
      </c>
      <c r="AB420">
        <v>24.8</v>
      </c>
      <c r="AC420" t="s">
        <v>64</v>
      </c>
      <c r="AE420" t="s">
        <v>65</v>
      </c>
      <c r="AF420" t="s">
        <v>66</v>
      </c>
      <c r="AG420" t="s">
        <v>705</v>
      </c>
      <c r="AH420" s="1">
        <v>0.46862268518518518</v>
      </c>
      <c r="AI420" t="s">
        <v>68</v>
      </c>
      <c r="AJ420" t="s">
        <v>69</v>
      </c>
      <c r="AO420">
        <v>8.0969999999999995</v>
      </c>
      <c r="AP420">
        <v>41.692</v>
      </c>
      <c r="AQ420">
        <v>6.4</v>
      </c>
      <c r="AR420">
        <v>2.02</v>
      </c>
      <c r="AS420">
        <v>37.713000000000001</v>
      </c>
      <c r="AT420">
        <v>19.2</v>
      </c>
      <c r="AY420">
        <v>2.36</v>
      </c>
      <c r="AZ420" t="s">
        <v>428</v>
      </c>
      <c r="BB420" t="s">
        <v>428</v>
      </c>
      <c r="BD420" t="s">
        <v>68</v>
      </c>
      <c r="BE420" t="s">
        <v>1829</v>
      </c>
      <c r="BF420" t="s">
        <v>1830</v>
      </c>
      <c r="BG420" t="s">
        <v>1831</v>
      </c>
      <c r="BH420">
        <v>0</v>
      </c>
      <c r="BI420">
        <v>0</v>
      </c>
      <c r="BJ420">
        <v>2</v>
      </c>
      <c r="BK420" t="s">
        <v>1832</v>
      </c>
      <c r="BL420">
        <v>8.8620000000000001</v>
      </c>
      <c r="BM420">
        <v>9.2479999999999993</v>
      </c>
      <c r="BN420" t="s">
        <v>1791</v>
      </c>
      <c r="BO420" s="1">
        <v>0.541875</v>
      </c>
      <c r="BP420" s="3">
        <f t="shared" si="40"/>
        <v>1.0107025294525296</v>
      </c>
      <c r="BQ420" s="3">
        <f t="shared" si="41"/>
        <v>1.003008955437102</v>
      </c>
    </row>
    <row r="421" spans="1:69" hidden="1" x14ac:dyDescent="0.35">
      <c r="A421">
        <v>419</v>
      </c>
      <c r="B421">
        <v>3866</v>
      </c>
      <c r="D421">
        <v>17</v>
      </c>
      <c r="E421">
        <v>1</v>
      </c>
      <c r="G421">
        <v>17123</v>
      </c>
      <c r="I421" t="s">
        <v>62</v>
      </c>
      <c r="L421" t="s">
        <v>1786</v>
      </c>
      <c r="M421">
        <v>10.19</v>
      </c>
      <c r="N421">
        <v>40.799999999999997</v>
      </c>
      <c r="O421">
        <v>9.6199999999999992</v>
      </c>
      <c r="P421" s="3">
        <f t="shared" si="36"/>
        <v>0.94406280667320897</v>
      </c>
      <c r="Q421">
        <v>33.299999999999997</v>
      </c>
      <c r="R421" s="3">
        <f t="shared" si="37"/>
        <v>0.81617647058823528</v>
      </c>
      <c r="S421">
        <v>320</v>
      </c>
      <c r="T421">
        <v>10.09</v>
      </c>
      <c r="U421">
        <v>40.1</v>
      </c>
      <c r="V421">
        <v>9.6310000000000002</v>
      </c>
      <c r="W421" s="3">
        <f t="shared" si="38"/>
        <v>0.95450941526263633</v>
      </c>
      <c r="X421">
        <v>32.770000000000003</v>
      </c>
      <c r="Y421" s="3">
        <f t="shared" si="39"/>
        <v>0.81720698254364099</v>
      </c>
      <c r="Z421">
        <v>315.60000000000002</v>
      </c>
      <c r="AA421">
        <v>78</v>
      </c>
      <c r="AB421">
        <v>25.2</v>
      </c>
      <c r="AC421" t="s">
        <v>64</v>
      </c>
      <c r="AE421" t="s">
        <v>65</v>
      </c>
      <c r="AF421" t="s">
        <v>66</v>
      </c>
      <c r="AG421" s="2">
        <v>44471</v>
      </c>
      <c r="AH421" s="1">
        <v>0.55311342592592594</v>
      </c>
      <c r="AI421" t="s">
        <v>68</v>
      </c>
      <c r="AJ421" t="s">
        <v>69</v>
      </c>
      <c r="AO421">
        <v>8.1</v>
      </c>
      <c r="AP421">
        <v>41.4</v>
      </c>
      <c r="AQ421">
        <v>6.4</v>
      </c>
      <c r="AR421">
        <v>2</v>
      </c>
      <c r="AS421">
        <v>37.700000000000003</v>
      </c>
      <c r="AT421">
        <v>25.6</v>
      </c>
      <c r="AY421">
        <v>2.36</v>
      </c>
      <c r="AZ421" t="s">
        <v>81</v>
      </c>
      <c r="BB421" t="s">
        <v>81</v>
      </c>
      <c r="BD421" t="s">
        <v>68</v>
      </c>
      <c r="BE421" t="s">
        <v>1833</v>
      </c>
      <c r="BF421" t="s">
        <v>1834</v>
      </c>
      <c r="BG421" t="s">
        <v>1835</v>
      </c>
      <c r="BH421">
        <v>0</v>
      </c>
      <c r="BI421">
        <v>1</v>
      </c>
      <c r="BJ421">
        <v>2</v>
      </c>
      <c r="BK421" t="s">
        <v>1836</v>
      </c>
      <c r="BL421">
        <v>8.8620000000000001</v>
      </c>
      <c r="BM421">
        <v>9.2479999999999993</v>
      </c>
      <c r="BN421" t="s">
        <v>1791</v>
      </c>
      <c r="BO421" s="1">
        <v>0.51863425925925921</v>
      </c>
      <c r="BP421" s="3">
        <f t="shared" si="40"/>
        <v>1.0110655864372418</v>
      </c>
      <c r="BQ421" s="3">
        <f t="shared" si="41"/>
        <v>1.0012626092426593</v>
      </c>
    </row>
    <row r="422" spans="1:69" hidden="1" x14ac:dyDescent="0.35">
      <c r="A422">
        <v>420</v>
      </c>
      <c r="B422">
        <v>3866</v>
      </c>
      <c r="D422">
        <v>17</v>
      </c>
      <c r="E422">
        <v>1</v>
      </c>
      <c r="G422">
        <v>17123</v>
      </c>
      <c r="I422" t="s">
        <v>62</v>
      </c>
      <c r="L422" t="s">
        <v>1792</v>
      </c>
      <c r="M422">
        <v>10.19</v>
      </c>
      <c r="N422">
        <v>40.799999999999997</v>
      </c>
      <c r="O422">
        <v>9.6199999999999992</v>
      </c>
      <c r="P422" s="3">
        <f t="shared" si="36"/>
        <v>0.94406280667320897</v>
      </c>
      <c r="Q422">
        <v>33.299999999999997</v>
      </c>
      <c r="R422" s="3">
        <f t="shared" si="37"/>
        <v>0.81617647058823528</v>
      </c>
      <c r="S422">
        <v>320</v>
      </c>
      <c r="T422">
        <v>10.1</v>
      </c>
      <c r="U422">
        <v>40.15</v>
      </c>
      <c r="V422">
        <v>9.641</v>
      </c>
      <c r="W422" s="3">
        <f t="shared" si="38"/>
        <v>0.95455445544554463</v>
      </c>
      <c r="X422">
        <v>32.880000000000003</v>
      </c>
      <c r="Y422" s="3">
        <f t="shared" si="39"/>
        <v>0.81892901618929026</v>
      </c>
      <c r="Z422">
        <v>317</v>
      </c>
      <c r="AA422">
        <v>78.099999999999994</v>
      </c>
      <c r="AB422">
        <v>24.8</v>
      </c>
      <c r="AC422" t="s">
        <v>64</v>
      </c>
      <c r="AE422" t="s">
        <v>65</v>
      </c>
      <c r="AF422" t="s">
        <v>66</v>
      </c>
      <c r="AG422" t="s">
        <v>705</v>
      </c>
      <c r="AH422" s="1">
        <v>0.48587962962962961</v>
      </c>
      <c r="AI422" t="s">
        <v>68</v>
      </c>
      <c r="AJ422" t="s">
        <v>69</v>
      </c>
      <c r="AO422">
        <v>8.0920000000000005</v>
      </c>
      <c r="AP422">
        <v>41.728999999999999</v>
      </c>
      <c r="AQ422">
        <v>6.4</v>
      </c>
      <c r="AR422">
        <v>2.02</v>
      </c>
      <c r="AS422">
        <v>38.014000000000003</v>
      </c>
      <c r="AT422">
        <v>25.6</v>
      </c>
      <c r="AY422">
        <v>2.36</v>
      </c>
      <c r="AZ422" t="s">
        <v>428</v>
      </c>
      <c r="BB422" t="s">
        <v>428</v>
      </c>
      <c r="BD422" t="s">
        <v>68</v>
      </c>
      <c r="BE422" t="s">
        <v>1837</v>
      </c>
      <c r="BF422" t="s">
        <v>1838</v>
      </c>
      <c r="BG422" t="s">
        <v>1839</v>
      </c>
      <c r="BH422">
        <v>0</v>
      </c>
      <c r="BI422">
        <v>0</v>
      </c>
      <c r="BJ422">
        <v>2</v>
      </c>
      <c r="BK422" t="s">
        <v>1840</v>
      </c>
      <c r="BL422">
        <v>8.8620000000000001</v>
      </c>
      <c r="BM422">
        <v>9.2479999999999993</v>
      </c>
      <c r="BN422" t="s">
        <v>1791</v>
      </c>
      <c r="BO422" s="1">
        <v>0.51863425925925921</v>
      </c>
      <c r="BP422" s="3">
        <f t="shared" si="40"/>
        <v>1.0111132953212163</v>
      </c>
      <c r="BQ422" s="3">
        <f t="shared" si="41"/>
        <v>1.0033724883039954</v>
      </c>
    </row>
    <row r="423" spans="1:69" hidden="1" x14ac:dyDescent="0.35">
      <c r="A423">
        <v>421</v>
      </c>
      <c r="B423">
        <v>4061</v>
      </c>
      <c r="D423">
        <v>17</v>
      </c>
      <c r="E423">
        <v>1</v>
      </c>
      <c r="G423">
        <v>17123</v>
      </c>
      <c r="I423" t="s">
        <v>62</v>
      </c>
      <c r="L423" t="s">
        <v>1841</v>
      </c>
      <c r="M423">
        <v>10.19</v>
      </c>
      <c r="N423">
        <v>40.799999999999997</v>
      </c>
      <c r="O423">
        <v>9.6199999999999992</v>
      </c>
      <c r="P423" s="3">
        <f t="shared" si="36"/>
        <v>0.94406280667320897</v>
      </c>
      <c r="Q423">
        <v>33.299999999999997</v>
      </c>
      <c r="R423" s="3">
        <f t="shared" si="37"/>
        <v>0.81617647058823528</v>
      </c>
      <c r="S423">
        <v>320</v>
      </c>
      <c r="T423">
        <v>10.15</v>
      </c>
      <c r="U423">
        <v>40.130000000000003</v>
      </c>
      <c r="V423">
        <v>9.6639999999999997</v>
      </c>
      <c r="W423" s="3">
        <f t="shared" si="38"/>
        <v>0.95211822660098511</v>
      </c>
      <c r="X423">
        <v>32.81</v>
      </c>
      <c r="Y423" s="3">
        <f t="shared" si="39"/>
        <v>0.81759282332419636</v>
      </c>
      <c r="Z423">
        <v>317.10000000000002</v>
      </c>
      <c r="AA423">
        <v>77.8</v>
      </c>
      <c r="AB423">
        <v>25.2</v>
      </c>
      <c r="AC423" t="s">
        <v>64</v>
      </c>
      <c r="AE423" t="s">
        <v>65</v>
      </c>
      <c r="AF423" t="s">
        <v>66</v>
      </c>
      <c r="AG423" s="2">
        <v>44471</v>
      </c>
      <c r="AH423" s="1">
        <v>0.55234953703703704</v>
      </c>
      <c r="AI423" t="s">
        <v>68</v>
      </c>
      <c r="AJ423" t="s">
        <v>69</v>
      </c>
      <c r="AO423">
        <v>8.1</v>
      </c>
      <c r="AP423">
        <v>41.5</v>
      </c>
      <c r="AQ423">
        <v>6.4</v>
      </c>
      <c r="AR423">
        <v>2</v>
      </c>
      <c r="AS423">
        <v>37.799999999999997</v>
      </c>
      <c r="AT423">
        <v>25.6</v>
      </c>
      <c r="AY423">
        <v>2.36</v>
      </c>
      <c r="AZ423" t="s">
        <v>81</v>
      </c>
      <c r="BB423" t="s">
        <v>81</v>
      </c>
      <c r="BD423" t="s">
        <v>68</v>
      </c>
      <c r="BE423" t="s">
        <v>1842</v>
      </c>
      <c r="BF423" t="s">
        <v>1843</v>
      </c>
      <c r="BG423" t="s">
        <v>1844</v>
      </c>
      <c r="BH423">
        <v>0</v>
      </c>
      <c r="BI423">
        <v>0</v>
      </c>
      <c r="BJ423">
        <v>1</v>
      </c>
      <c r="BK423" t="s">
        <v>1845</v>
      </c>
      <c r="BL423">
        <v>8.8620000000000001</v>
      </c>
      <c r="BM423">
        <v>8.8620000000000001</v>
      </c>
      <c r="BN423" t="s">
        <v>1846</v>
      </c>
      <c r="BO423" s="1">
        <v>0.64892361111111108</v>
      </c>
      <c r="BP423" s="3">
        <f t="shared" si="40"/>
        <v>1.008532716118923</v>
      </c>
      <c r="BQ423" s="3">
        <f t="shared" si="41"/>
        <v>1.0017353510999163</v>
      </c>
    </row>
    <row r="424" spans="1:69" hidden="1" x14ac:dyDescent="0.35">
      <c r="A424">
        <v>422</v>
      </c>
      <c r="B424">
        <v>4050</v>
      </c>
      <c r="D424">
        <v>17</v>
      </c>
      <c r="E424">
        <v>1</v>
      </c>
      <c r="G424">
        <v>17123</v>
      </c>
      <c r="I424" t="s">
        <v>62</v>
      </c>
      <c r="L424" t="s">
        <v>1841</v>
      </c>
      <c r="M424">
        <v>10.19</v>
      </c>
      <c r="N424">
        <v>40.799999999999997</v>
      </c>
      <c r="O424">
        <v>9.6199999999999992</v>
      </c>
      <c r="P424" s="3">
        <f t="shared" si="36"/>
        <v>0.94406280667320897</v>
      </c>
      <c r="Q424">
        <v>33.299999999999997</v>
      </c>
      <c r="R424" s="3">
        <f t="shared" si="37"/>
        <v>0.81617647058823528</v>
      </c>
      <c r="S424">
        <v>320</v>
      </c>
      <c r="T424">
        <v>10.14</v>
      </c>
      <c r="U424">
        <v>40.119999999999997</v>
      </c>
      <c r="V424">
        <v>9.6530000000000005</v>
      </c>
      <c r="W424" s="3">
        <f t="shared" si="38"/>
        <v>0.95197238658777117</v>
      </c>
      <c r="X424">
        <v>32.86</v>
      </c>
      <c r="Y424" s="3">
        <f t="shared" si="39"/>
        <v>0.81904287138584253</v>
      </c>
      <c r="Z424">
        <v>317.2</v>
      </c>
      <c r="AA424">
        <v>78</v>
      </c>
      <c r="AB424">
        <v>25.3</v>
      </c>
      <c r="AC424" t="s">
        <v>64</v>
      </c>
      <c r="AE424" t="s">
        <v>65</v>
      </c>
      <c r="AF424" t="s">
        <v>66</v>
      </c>
      <c r="AG424" s="2">
        <v>44471</v>
      </c>
      <c r="AH424" s="1">
        <v>0.55093749999999997</v>
      </c>
      <c r="AI424" t="s">
        <v>68</v>
      </c>
      <c r="AJ424" t="s">
        <v>69</v>
      </c>
      <c r="AO424">
        <v>8.1</v>
      </c>
      <c r="AP424">
        <v>41.4</v>
      </c>
      <c r="AQ424">
        <v>6.4</v>
      </c>
      <c r="AR424">
        <v>2</v>
      </c>
      <c r="AS424">
        <v>37.700000000000003</v>
      </c>
      <c r="AT424">
        <v>25.6</v>
      </c>
      <c r="AY424">
        <v>2.36</v>
      </c>
      <c r="AZ424" t="s">
        <v>81</v>
      </c>
      <c r="BB424" t="s">
        <v>81</v>
      </c>
      <c r="BD424" t="s">
        <v>68</v>
      </c>
      <c r="BE424" t="s">
        <v>1847</v>
      </c>
      <c r="BF424" t="s">
        <v>1848</v>
      </c>
      <c r="BG424" t="s">
        <v>1849</v>
      </c>
      <c r="BH424">
        <v>0</v>
      </c>
      <c r="BI424">
        <v>0</v>
      </c>
      <c r="BJ424">
        <v>1</v>
      </c>
      <c r="BK424" t="s">
        <v>1850</v>
      </c>
      <c r="BL424">
        <v>8.8620000000000001</v>
      </c>
      <c r="BM424">
        <v>8.8620000000000001</v>
      </c>
      <c r="BN424" t="s">
        <v>1846</v>
      </c>
      <c r="BO424" s="1">
        <v>0.601099537037037</v>
      </c>
      <c r="BP424" s="3">
        <f t="shared" si="40"/>
        <v>1.0083782348575248</v>
      </c>
      <c r="BQ424" s="3">
        <f t="shared" si="41"/>
        <v>1.0035119865628341</v>
      </c>
    </row>
    <row r="425" spans="1:69" hidden="1" x14ac:dyDescent="0.35">
      <c r="A425">
        <v>423</v>
      </c>
      <c r="B425">
        <v>3857</v>
      </c>
      <c r="D425">
        <v>17</v>
      </c>
      <c r="E425">
        <v>1</v>
      </c>
      <c r="G425">
        <v>17123</v>
      </c>
      <c r="I425" t="s">
        <v>62</v>
      </c>
      <c r="L425" t="s">
        <v>1786</v>
      </c>
      <c r="M425">
        <v>10.19</v>
      </c>
      <c r="N425">
        <v>40.799999999999997</v>
      </c>
      <c r="O425">
        <v>9.6199999999999992</v>
      </c>
      <c r="P425" s="3">
        <f t="shared" si="36"/>
        <v>0.94406280667320897</v>
      </c>
      <c r="Q425">
        <v>33.299999999999997</v>
      </c>
      <c r="R425" s="3">
        <f t="shared" si="37"/>
        <v>0.81617647058823528</v>
      </c>
      <c r="S425">
        <v>320</v>
      </c>
      <c r="T425">
        <v>10.130000000000001</v>
      </c>
      <c r="U425">
        <v>40.119999999999997</v>
      </c>
      <c r="V425">
        <v>9.6370000000000005</v>
      </c>
      <c r="W425" s="3">
        <f t="shared" si="38"/>
        <v>0.95133267522211251</v>
      </c>
      <c r="X425">
        <v>32.79</v>
      </c>
      <c r="Y425" s="3">
        <f t="shared" si="39"/>
        <v>0.81729810568295114</v>
      </c>
      <c r="Z425">
        <v>316</v>
      </c>
      <c r="AA425">
        <v>77.7</v>
      </c>
      <c r="AB425">
        <v>25.2</v>
      </c>
      <c r="AC425" t="s">
        <v>64</v>
      </c>
      <c r="AE425" t="s">
        <v>65</v>
      </c>
      <c r="AF425" t="s">
        <v>66</v>
      </c>
      <c r="AG425" s="2">
        <v>44471</v>
      </c>
      <c r="AH425" s="1">
        <v>0.55585648148148148</v>
      </c>
      <c r="AI425" t="s">
        <v>68</v>
      </c>
      <c r="AJ425" t="s">
        <v>69</v>
      </c>
      <c r="AO425">
        <v>8.1</v>
      </c>
      <c r="AP425">
        <v>41.5</v>
      </c>
      <c r="AQ425">
        <v>6.4</v>
      </c>
      <c r="AR425">
        <v>2</v>
      </c>
      <c r="AS425">
        <v>37.799999999999997</v>
      </c>
      <c r="AT425">
        <v>25.6</v>
      </c>
      <c r="AY425">
        <v>2.36</v>
      </c>
      <c r="AZ425" t="s">
        <v>81</v>
      </c>
      <c r="BB425" t="s">
        <v>81</v>
      </c>
      <c r="BD425" t="s">
        <v>68</v>
      </c>
      <c r="BE425" t="s">
        <v>1851</v>
      </c>
      <c r="BF425" t="s">
        <v>1852</v>
      </c>
      <c r="BG425" t="s">
        <v>1853</v>
      </c>
      <c r="BH425">
        <v>0</v>
      </c>
      <c r="BI425">
        <v>1</v>
      </c>
      <c r="BJ425">
        <v>2</v>
      </c>
      <c r="BK425" t="s">
        <v>1854</v>
      </c>
      <c r="BL425">
        <v>8.8620000000000001</v>
      </c>
      <c r="BM425">
        <v>9.2479999999999993</v>
      </c>
      <c r="BN425" t="s">
        <v>1791</v>
      </c>
      <c r="BO425" s="1">
        <v>0.38615740740740739</v>
      </c>
      <c r="BP425" s="3">
        <f t="shared" si="40"/>
        <v>1.0077006195959799</v>
      </c>
      <c r="BQ425" s="3">
        <f t="shared" si="41"/>
        <v>1.0013742556115437</v>
      </c>
    </row>
    <row r="426" spans="1:69" hidden="1" x14ac:dyDescent="0.35">
      <c r="A426">
        <v>424</v>
      </c>
      <c r="B426">
        <v>3857</v>
      </c>
      <c r="D426">
        <v>17</v>
      </c>
      <c r="E426">
        <v>1</v>
      </c>
      <c r="G426">
        <v>17123</v>
      </c>
      <c r="I426" t="s">
        <v>62</v>
      </c>
      <c r="L426" t="s">
        <v>1792</v>
      </c>
      <c r="M426">
        <v>10.19</v>
      </c>
      <c r="N426">
        <v>40.799999999999997</v>
      </c>
      <c r="O426">
        <v>9.6199999999999992</v>
      </c>
      <c r="P426" s="3">
        <f t="shared" si="36"/>
        <v>0.94406280667320897</v>
      </c>
      <c r="Q426">
        <v>33.299999999999997</v>
      </c>
      <c r="R426" s="3">
        <f t="shared" si="37"/>
        <v>0.81617647058823528</v>
      </c>
      <c r="S426">
        <v>320</v>
      </c>
      <c r="T426">
        <v>10.130000000000001</v>
      </c>
      <c r="U426">
        <v>40.19</v>
      </c>
      <c r="V426">
        <v>9.6479999999999997</v>
      </c>
      <c r="W426" s="3">
        <f t="shared" si="38"/>
        <v>0.95241855873642634</v>
      </c>
      <c r="X426">
        <v>32.92</v>
      </c>
      <c r="Y426" s="3">
        <f t="shared" si="39"/>
        <v>0.81910923115202794</v>
      </c>
      <c r="Z426">
        <v>317.60000000000002</v>
      </c>
      <c r="AA426">
        <v>78</v>
      </c>
      <c r="AB426">
        <v>24.8</v>
      </c>
      <c r="AC426" t="s">
        <v>64</v>
      </c>
      <c r="AE426" t="s">
        <v>65</v>
      </c>
      <c r="AF426" t="s">
        <v>66</v>
      </c>
      <c r="AG426" t="s">
        <v>705</v>
      </c>
      <c r="AH426" s="1">
        <v>0.48032407407407407</v>
      </c>
      <c r="AI426" t="s">
        <v>68</v>
      </c>
      <c r="AJ426" t="s">
        <v>69</v>
      </c>
      <c r="AO426">
        <v>8.0969999999999995</v>
      </c>
      <c r="AP426">
        <v>41.728999999999999</v>
      </c>
      <c r="AQ426">
        <v>6.4</v>
      </c>
      <c r="AR426">
        <v>2.02</v>
      </c>
      <c r="AS426">
        <v>38.014000000000003</v>
      </c>
      <c r="AT426">
        <v>19.2</v>
      </c>
      <c r="AY426">
        <v>2.36</v>
      </c>
      <c r="AZ426" t="s">
        <v>428</v>
      </c>
      <c r="BB426" t="s">
        <v>428</v>
      </c>
      <c r="BD426" t="s">
        <v>68</v>
      </c>
      <c r="BE426" t="s">
        <v>1855</v>
      </c>
      <c r="BF426" t="s">
        <v>1856</v>
      </c>
      <c r="BG426" t="s">
        <v>1857</v>
      </c>
      <c r="BH426">
        <v>0</v>
      </c>
      <c r="BI426">
        <v>0</v>
      </c>
      <c r="BJ426">
        <v>2</v>
      </c>
      <c r="BK426" t="s">
        <v>1858</v>
      </c>
      <c r="BL426">
        <v>8.8620000000000001</v>
      </c>
      <c r="BM426">
        <v>9.2479999999999993</v>
      </c>
      <c r="BN426" t="s">
        <v>1791</v>
      </c>
      <c r="BO426" s="1">
        <v>0.38615740740740739</v>
      </c>
      <c r="BP426" s="3">
        <f t="shared" si="40"/>
        <v>1.0088508434016825</v>
      </c>
      <c r="BQ426" s="3">
        <f t="shared" si="41"/>
        <v>1.0035932922223045</v>
      </c>
    </row>
    <row r="427" spans="1:69" hidden="1" x14ac:dyDescent="0.35">
      <c r="A427">
        <v>425</v>
      </c>
      <c r="B427">
        <v>3880</v>
      </c>
      <c r="D427">
        <v>17</v>
      </c>
      <c r="E427">
        <v>1</v>
      </c>
      <c r="G427">
        <v>17123</v>
      </c>
      <c r="I427" t="s">
        <v>62</v>
      </c>
      <c r="L427" t="s">
        <v>1786</v>
      </c>
      <c r="M427">
        <v>10.19</v>
      </c>
      <c r="N427">
        <v>40.799999999999997</v>
      </c>
      <c r="O427">
        <v>9.6199999999999992</v>
      </c>
      <c r="P427" s="3">
        <f t="shared" si="36"/>
        <v>0.94406280667320897</v>
      </c>
      <c r="Q427">
        <v>33.299999999999997</v>
      </c>
      <c r="R427" s="3">
        <f t="shared" si="37"/>
        <v>0.81617647058823528</v>
      </c>
      <c r="S427">
        <v>320</v>
      </c>
      <c r="T427">
        <v>10.130000000000001</v>
      </c>
      <c r="U427">
        <v>40.14</v>
      </c>
      <c r="V427">
        <v>9.6259999999999994</v>
      </c>
      <c r="W427" s="3">
        <f t="shared" si="38"/>
        <v>0.95024679170779847</v>
      </c>
      <c r="X427">
        <v>32.79</v>
      </c>
      <c r="Y427" s="3">
        <f t="shared" si="39"/>
        <v>0.81689088191330339</v>
      </c>
      <c r="Z427">
        <v>315.7</v>
      </c>
      <c r="AA427">
        <v>77.7</v>
      </c>
      <c r="AB427">
        <v>25.2</v>
      </c>
      <c r="AC427" t="s">
        <v>64</v>
      </c>
      <c r="AE427" t="s">
        <v>65</v>
      </c>
      <c r="AF427" t="s">
        <v>66</v>
      </c>
      <c r="AG427" s="2">
        <v>44471</v>
      </c>
      <c r="AH427" s="1">
        <v>0.55651620370370369</v>
      </c>
      <c r="AI427" t="s">
        <v>68</v>
      </c>
      <c r="AJ427" t="s">
        <v>69</v>
      </c>
      <c r="AO427">
        <v>8.1</v>
      </c>
      <c r="AP427">
        <v>41.5</v>
      </c>
      <c r="AQ427">
        <v>6.4</v>
      </c>
      <c r="AR427">
        <v>2</v>
      </c>
      <c r="AS427">
        <v>37.799999999999997</v>
      </c>
      <c r="AT427">
        <v>25.6</v>
      </c>
      <c r="AY427">
        <v>2.36</v>
      </c>
      <c r="AZ427" t="s">
        <v>81</v>
      </c>
      <c r="BB427" t="s">
        <v>81</v>
      </c>
      <c r="BD427" t="s">
        <v>68</v>
      </c>
      <c r="BE427" t="s">
        <v>1859</v>
      </c>
      <c r="BF427" t="s">
        <v>1860</v>
      </c>
      <c r="BG427" t="s">
        <v>1861</v>
      </c>
      <c r="BH427">
        <v>0</v>
      </c>
      <c r="BI427">
        <v>1</v>
      </c>
      <c r="BJ427">
        <v>2</v>
      </c>
      <c r="BK427" t="s">
        <v>1862</v>
      </c>
      <c r="BL427">
        <v>8.8620000000000001</v>
      </c>
      <c r="BM427">
        <v>9.2479999999999993</v>
      </c>
      <c r="BN427" t="s">
        <v>1791</v>
      </c>
      <c r="BO427" s="1">
        <v>0.67960648148148151</v>
      </c>
      <c r="BP427" s="3">
        <f t="shared" si="40"/>
        <v>1.0065503957902773</v>
      </c>
      <c r="BQ427" s="3">
        <f t="shared" si="41"/>
        <v>1.00087531477666</v>
      </c>
    </row>
    <row r="428" spans="1:69" hidden="1" x14ac:dyDescent="0.35">
      <c r="A428">
        <v>426</v>
      </c>
      <c r="B428">
        <v>3880</v>
      </c>
      <c r="D428">
        <v>17</v>
      </c>
      <c r="E428">
        <v>1</v>
      </c>
      <c r="G428">
        <v>17123</v>
      </c>
      <c r="I428" t="s">
        <v>62</v>
      </c>
      <c r="L428" t="s">
        <v>1792</v>
      </c>
      <c r="M428">
        <v>10.19</v>
      </c>
      <c r="N428">
        <v>40.799999999999997</v>
      </c>
      <c r="O428">
        <v>9.6199999999999992</v>
      </c>
      <c r="P428" s="3">
        <f t="shared" si="36"/>
        <v>0.94406280667320897</v>
      </c>
      <c r="Q428">
        <v>33.299999999999997</v>
      </c>
      <c r="R428" s="3">
        <f t="shared" si="37"/>
        <v>0.81617647058823528</v>
      </c>
      <c r="S428">
        <v>320</v>
      </c>
      <c r="T428">
        <v>10.130000000000001</v>
      </c>
      <c r="U428">
        <v>40.21</v>
      </c>
      <c r="V428">
        <v>9.6370000000000005</v>
      </c>
      <c r="W428" s="3">
        <f t="shared" si="38"/>
        <v>0.95133267522211251</v>
      </c>
      <c r="X428">
        <v>32.92</v>
      </c>
      <c r="Y428" s="3">
        <f t="shared" si="39"/>
        <v>0.81870181546878884</v>
      </c>
      <c r="Z428">
        <v>317.2</v>
      </c>
      <c r="AA428">
        <v>77.900000000000006</v>
      </c>
      <c r="AB428">
        <v>24.9</v>
      </c>
      <c r="AC428" t="s">
        <v>64</v>
      </c>
      <c r="AE428" t="s">
        <v>65</v>
      </c>
      <c r="AF428" t="s">
        <v>66</v>
      </c>
      <c r="AG428" t="s">
        <v>705</v>
      </c>
      <c r="AH428" s="1">
        <v>0.47935185185185186</v>
      </c>
      <c r="AI428" t="s">
        <v>68</v>
      </c>
      <c r="AJ428" t="s">
        <v>69</v>
      </c>
      <c r="AO428">
        <v>8.0969999999999995</v>
      </c>
      <c r="AP428">
        <v>41.767000000000003</v>
      </c>
      <c r="AQ428">
        <v>6.4</v>
      </c>
      <c r="AR428">
        <v>1.2010000000000001</v>
      </c>
      <c r="AS428">
        <v>36.963000000000001</v>
      </c>
      <c r="AT428">
        <v>25.6</v>
      </c>
      <c r="AY428">
        <v>2.36</v>
      </c>
      <c r="AZ428" t="s">
        <v>428</v>
      </c>
      <c r="BB428" t="s">
        <v>428</v>
      </c>
      <c r="BD428" t="s">
        <v>68</v>
      </c>
      <c r="BE428" t="s">
        <v>1863</v>
      </c>
      <c r="BF428" t="s">
        <v>1864</v>
      </c>
      <c r="BG428" t="s">
        <v>1865</v>
      </c>
      <c r="BH428">
        <v>0</v>
      </c>
      <c r="BI428">
        <v>0</v>
      </c>
      <c r="BJ428">
        <v>2</v>
      </c>
      <c r="BK428" t="s">
        <v>1866</v>
      </c>
      <c r="BL428">
        <v>8.8620000000000001</v>
      </c>
      <c r="BM428">
        <v>9.2479999999999993</v>
      </c>
      <c r="BN428" t="s">
        <v>1791</v>
      </c>
      <c r="BO428" s="1">
        <v>0.67960648148148151</v>
      </c>
      <c r="BP428" s="3">
        <f t="shared" si="40"/>
        <v>1.0077006195959799</v>
      </c>
      <c r="BQ428" s="3">
        <f t="shared" si="41"/>
        <v>1.0030941162500475</v>
      </c>
    </row>
    <row r="429" spans="1:69" hidden="1" x14ac:dyDescent="0.35">
      <c r="A429">
        <v>427</v>
      </c>
      <c r="B429">
        <v>3878</v>
      </c>
      <c r="D429">
        <v>17</v>
      </c>
      <c r="E429">
        <v>1</v>
      </c>
      <c r="G429">
        <v>17123</v>
      </c>
      <c r="I429" t="s">
        <v>62</v>
      </c>
      <c r="L429" t="s">
        <v>1786</v>
      </c>
      <c r="M429">
        <v>10.19</v>
      </c>
      <c r="N429">
        <v>40.799999999999997</v>
      </c>
      <c r="O429">
        <v>9.6199999999999992</v>
      </c>
      <c r="P429" s="3">
        <f t="shared" si="36"/>
        <v>0.94406280667320897</v>
      </c>
      <c r="Q429">
        <v>33.299999999999997</v>
      </c>
      <c r="R429" s="3">
        <f t="shared" si="37"/>
        <v>0.81617647058823528</v>
      </c>
      <c r="S429">
        <v>320</v>
      </c>
      <c r="T429">
        <v>10.09</v>
      </c>
      <c r="U429">
        <v>40.090000000000003</v>
      </c>
      <c r="V429">
        <v>9.6329999999999991</v>
      </c>
      <c r="W429" s="3">
        <f t="shared" si="38"/>
        <v>0.95470763131813674</v>
      </c>
      <c r="X429">
        <v>32.82</v>
      </c>
      <c r="Y429" s="3">
        <f t="shared" si="39"/>
        <v>0.81865801945622341</v>
      </c>
      <c r="Z429">
        <v>316.2</v>
      </c>
      <c r="AA429">
        <v>78.2</v>
      </c>
      <c r="AB429">
        <v>25.4</v>
      </c>
      <c r="AC429" t="s">
        <v>64</v>
      </c>
      <c r="AE429" t="s">
        <v>65</v>
      </c>
      <c r="AF429" t="s">
        <v>66</v>
      </c>
      <c r="AG429" s="2">
        <v>44471</v>
      </c>
      <c r="AH429" s="1">
        <v>0.56043981481481486</v>
      </c>
      <c r="AI429" t="s">
        <v>68</v>
      </c>
      <c r="AJ429" t="s">
        <v>69</v>
      </c>
      <c r="AO429">
        <v>8.1</v>
      </c>
      <c r="AP429">
        <v>41.4</v>
      </c>
      <c r="AQ429">
        <v>6.4</v>
      </c>
      <c r="AR429">
        <v>2</v>
      </c>
      <c r="AS429">
        <v>37.799999999999997</v>
      </c>
      <c r="AT429">
        <v>25.6</v>
      </c>
      <c r="AY429">
        <v>2.36</v>
      </c>
      <c r="AZ429" t="s">
        <v>81</v>
      </c>
      <c r="BB429" t="s">
        <v>81</v>
      </c>
      <c r="BD429" t="s">
        <v>68</v>
      </c>
      <c r="BE429" t="s">
        <v>1867</v>
      </c>
      <c r="BF429" t="s">
        <v>1868</v>
      </c>
      <c r="BG429" t="s">
        <v>1869</v>
      </c>
      <c r="BH429">
        <v>0</v>
      </c>
      <c r="BI429">
        <v>0</v>
      </c>
      <c r="BJ429">
        <v>1</v>
      </c>
      <c r="BK429" t="s">
        <v>1870</v>
      </c>
      <c r="BL429">
        <v>8.8620000000000001</v>
      </c>
      <c r="BM429">
        <v>9.2479999999999993</v>
      </c>
      <c r="BN429" t="s">
        <v>1791</v>
      </c>
      <c r="BO429" s="1">
        <v>0.66737268518518522</v>
      </c>
      <c r="BP429" s="3">
        <f t="shared" si="40"/>
        <v>1.0112755471030992</v>
      </c>
      <c r="BQ429" s="3">
        <f t="shared" si="41"/>
        <v>1.0030404562706881</v>
      </c>
    </row>
    <row r="430" spans="1:69" hidden="1" x14ac:dyDescent="0.35">
      <c r="A430">
        <v>428</v>
      </c>
      <c r="B430">
        <v>3867</v>
      </c>
      <c r="D430">
        <v>17</v>
      </c>
      <c r="E430">
        <v>1</v>
      </c>
      <c r="G430">
        <v>17123</v>
      </c>
      <c r="I430" t="s">
        <v>62</v>
      </c>
      <c r="L430" t="s">
        <v>1871</v>
      </c>
      <c r="M430">
        <v>10.19</v>
      </c>
      <c r="N430">
        <v>40.799999999999997</v>
      </c>
      <c r="O430">
        <v>9.6199999999999992</v>
      </c>
      <c r="P430" s="3">
        <f t="shared" si="36"/>
        <v>0.94406280667320897</v>
      </c>
      <c r="Q430">
        <v>33.299999999999997</v>
      </c>
      <c r="R430" s="3">
        <f t="shared" si="37"/>
        <v>0.81617647058823528</v>
      </c>
      <c r="S430">
        <v>320</v>
      </c>
      <c r="T430">
        <v>10.09</v>
      </c>
      <c r="U430">
        <v>40.08</v>
      </c>
      <c r="V430">
        <v>9.6210000000000004</v>
      </c>
      <c r="W430" s="3">
        <f t="shared" si="38"/>
        <v>0.95351833498513383</v>
      </c>
      <c r="X430">
        <v>32.72</v>
      </c>
      <c r="Y430" s="3">
        <f t="shared" si="39"/>
        <v>0.81636726546906191</v>
      </c>
      <c r="Z430">
        <v>314.8</v>
      </c>
      <c r="AA430">
        <v>77.8</v>
      </c>
      <c r="AB430">
        <v>25.2</v>
      </c>
      <c r="AC430" t="s">
        <v>64</v>
      </c>
      <c r="AE430" t="s">
        <v>65</v>
      </c>
      <c r="AF430" t="s">
        <v>66</v>
      </c>
      <c r="AG430" s="2">
        <v>44471</v>
      </c>
      <c r="AH430" s="1">
        <v>0.55726851851851855</v>
      </c>
      <c r="AI430" t="s">
        <v>68</v>
      </c>
      <c r="AJ430" t="s">
        <v>69</v>
      </c>
      <c r="AO430">
        <v>8.1</v>
      </c>
      <c r="AP430">
        <v>41.5</v>
      </c>
      <c r="AQ430">
        <v>6.4</v>
      </c>
      <c r="AR430">
        <v>2</v>
      </c>
      <c r="AS430">
        <v>37.799999999999997</v>
      </c>
      <c r="AT430">
        <v>25.6</v>
      </c>
      <c r="AY430">
        <v>2.36</v>
      </c>
      <c r="AZ430" t="s">
        <v>81</v>
      </c>
      <c r="BB430" t="s">
        <v>81</v>
      </c>
      <c r="BD430" t="s">
        <v>68</v>
      </c>
      <c r="BE430" t="s">
        <v>1872</v>
      </c>
      <c r="BF430" t="s">
        <v>1873</v>
      </c>
      <c r="BG430" t="s">
        <v>1874</v>
      </c>
      <c r="BH430">
        <v>0</v>
      </c>
      <c r="BI430">
        <v>1</v>
      </c>
      <c r="BJ430">
        <v>2</v>
      </c>
      <c r="BK430" t="s">
        <v>1875</v>
      </c>
      <c r="BL430">
        <v>8.8620000000000001</v>
      </c>
      <c r="BM430">
        <v>8.8620000000000001</v>
      </c>
      <c r="BN430" t="s">
        <v>1876</v>
      </c>
      <c r="BO430" s="1">
        <v>0.62656250000000002</v>
      </c>
      <c r="BP430" s="3">
        <f t="shared" si="40"/>
        <v>1.0100157831079537</v>
      </c>
      <c r="BQ430" s="3">
        <f t="shared" si="41"/>
        <v>1.0002337667008325</v>
      </c>
    </row>
    <row r="431" spans="1:69" hidden="1" x14ac:dyDescent="0.35">
      <c r="A431">
        <v>429</v>
      </c>
      <c r="B431">
        <v>3867</v>
      </c>
      <c r="D431">
        <v>17</v>
      </c>
      <c r="E431">
        <v>1</v>
      </c>
      <c r="G431">
        <v>17123</v>
      </c>
      <c r="I431" t="s">
        <v>62</v>
      </c>
      <c r="L431" t="s">
        <v>1877</v>
      </c>
      <c r="M431">
        <v>10.19</v>
      </c>
      <c r="N431">
        <v>40.799999999999997</v>
      </c>
      <c r="O431">
        <v>9.6199999999999992</v>
      </c>
      <c r="P431" s="3">
        <f t="shared" si="36"/>
        <v>0.94406280667320897</v>
      </c>
      <c r="Q431">
        <v>33.299999999999997</v>
      </c>
      <c r="R431" s="3">
        <f t="shared" si="37"/>
        <v>0.81617647058823528</v>
      </c>
      <c r="S431">
        <v>320</v>
      </c>
      <c r="T431">
        <v>10.1</v>
      </c>
      <c r="U431">
        <v>40.14</v>
      </c>
      <c r="V431">
        <v>9.6319999999999997</v>
      </c>
      <c r="W431" s="3">
        <f t="shared" si="38"/>
        <v>0.95366336633663362</v>
      </c>
      <c r="X431">
        <v>32.86</v>
      </c>
      <c r="Y431" s="3">
        <f t="shared" si="39"/>
        <v>0.81863477827603381</v>
      </c>
      <c r="Z431">
        <v>316.5</v>
      </c>
      <c r="AA431">
        <v>78.099999999999994</v>
      </c>
      <c r="AB431">
        <v>24.8</v>
      </c>
      <c r="AC431" t="s">
        <v>64</v>
      </c>
      <c r="AE431" t="s">
        <v>65</v>
      </c>
      <c r="AF431" t="s">
        <v>66</v>
      </c>
      <c r="AG431" t="s">
        <v>705</v>
      </c>
      <c r="AH431" s="1">
        <v>0.47840277777777779</v>
      </c>
      <c r="AI431" t="s">
        <v>68</v>
      </c>
      <c r="AJ431" t="s">
        <v>69</v>
      </c>
      <c r="AO431">
        <v>8.0920000000000005</v>
      </c>
      <c r="AP431">
        <v>41.728999999999999</v>
      </c>
      <c r="AQ431">
        <v>6.4</v>
      </c>
      <c r="AR431">
        <v>2.02</v>
      </c>
      <c r="AS431">
        <v>37.975999999999999</v>
      </c>
      <c r="AT431">
        <v>56.6</v>
      </c>
      <c r="AY431">
        <v>2.36</v>
      </c>
      <c r="AZ431" t="s">
        <v>428</v>
      </c>
      <c r="BB431" t="s">
        <v>428</v>
      </c>
      <c r="BD431" t="s">
        <v>68</v>
      </c>
      <c r="BE431" t="s">
        <v>1878</v>
      </c>
      <c r="BF431" t="s">
        <v>1879</v>
      </c>
      <c r="BG431" t="s">
        <v>1880</v>
      </c>
      <c r="BH431">
        <v>0</v>
      </c>
      <c r="BI431">
        <v>0</v>
      </c>
      <c r="BJ431">
        <v>2</v>
      </c>
      <c r="BK431" t="s">
        <v>1881</v>
      </c>
      <c r="BL431">
        <v>8.8620000000000001</v>
      </c>
      <c r="BM431">
        <v>8.8620000000000001</v>
      </c>
      <c r="BN431" t="s">
        <v>1876</v>
      </c>
      <c r="BO431" s="1">
        <v>0.62656250000000002</v>
      </c>
      <c r="BP431" s="3">
        <f t="shared" si="40"/>
        <v>1.0101694077931702</v>
      </c>
      <c r="BQ431" s="3">
        <f t="shared" si="41"/>
        <v>1.0030119805904558</v>
      </c>
    </row>
    <row r="432" spans="1:69" hidden="1" x14ac:dyDescent="0.35">
      <c r="A432">
        <v>430</v>
      </c>
      <c r="B432">
        <v>3876</v>
      </c>
      <c r="D432">
        <v>17</v>
      </c>
      <c r="E432">
        <v>1</v>
      </c>
      <c r="G432">
        <v>17123</v>
      </c>
      <c r="I432" t="s">
        <v>62</v>
      </c>
      <c r="L432" t="s">
        <v>1786</v>
      </c>
      <c r="M432">
        <v>10.19</v>
      </c>
      <c r="N432">
        <v>40.799999999999997</v>
      </c>
      <c r="O432">
        <v>9.6199999999999992</v>
      </c>
      <c r="P432" s="3">
        <f t="shared" si="36"/>
        <v>0.94406280667320897</v>
      </c>
      <c r="Q432">
        <v>33.299999999999997</v>
      </c>
      <c r="R432" s="3">
        <f t="shared" si="37"/>
        <v>0.81617647058823528</v>
      </c>
      <c r="S432">
        <v>320</v>
      </c>
      <c r="T432">
        <v>10.1</v>
      </c>
      <c r="U432">
        <v>40.1</v>
      </c>
      <c r="V432">
        <v>9.6150000000000002</v>
      </c>
      <c r="W432" s="3">
        <f t="shared" si="38"/>
        <v>0.95198019801980205</v>
      </c>
      <c r="X432">
        <v>32.76</v>
      </c>
      <c r="Y432" s="3">
        <f t="shared" si="39"/>
        <v>0.81695760598503731</v>
      </c>
      <c r="Z432">
        <v>315</v>
      </c>
      <c r="AA432">
        <v>77.8</v>
      </c>
      <c r="AB432">
        <v>25.4</v>
      </c>
      <c r="AC432" t="s">
        <v>64</v>
      </c>
      <c r="AE432" t="s">
        <v>65</v>
      </c>
      <c r="AF432" t="s">
        <v>66</v>
      </c>
      <c r="AG432" s="2">
        <v>44471</v>
      </c>
      <c r="AH432" s="1">
        <v>0.55987268518518518</v>
      </c>
      <c r="AI432" t="s">
        <v>68</v>
      </c>
      <c r="AJ432" t="s">
        <v>69</v>
      </c>
      <c r="AO432">
        <v>8.1</v>
      </c>
      <c r="AP432">
        <v>41.5</v>
      </c>
      <c r="AQ432">
        <v>6.4</v>
      </c>
      <c r="AR432">
        <v>2</v>
      </c>
      <c r="AS432">
        <v>37.799999999999997</v>
      </c>
      <c r="AT432">
        <v>25.6</v>
      </c>
      <c r="AY432">
        <v>2.36</v>
      </c>
      <c r="AZ432" t="s">
        <v>81</v>
      </c>
      <c r="BB432" t="s">
        <v>81</v>
      </c>
      <c r="BD432" t="s">
        <v>68</v>
      </c>
      <c r="BE432" t="s">
        <v>1882</v>
      </c>
      <c r="BF432" t="s">
        <v>1883</v>
      </c>
      <c r="BG432" t="s">
        <v>1884</v>
      </c>
      <c r="BH432">
        <v>0</v>
      </c>
      <c r="BI432">
        <v>1</v>
      </c>
      <c r="BJ432">
        <v>2</v>
      </c>
      <c r="BK432" t="s">
        <v>1885</v>
      </c>
      <c r="BL432">
        <v>8.8620000000000001</v>
      </c>
      <c r="BM432">
        <v>9.2479999999999993</v>
      </c>
      <c r="BN432" t="s">
        <v>1791</v>
      </c>
      <c r="BO432" s="1">
        <v>0.65925925925925921</v>
      </c>
      <c r="BP432" s="3">
        <f t="shared" si="40"/>
        <v>1.0083865091290836</v>
      </c>
      <c r="BQ432" s="3">
        <f t="shared" si="41"/>
        <v>1.0009570667924781</v>
      </c>
    </row>
    <row r="433" spans="1:69" hidden="1" x14ac:dyDescent="0.35">
      <c r="A433">
        <v>431</v>
      </c>
      <c r="B433">
        <v>3876</v>
      </c>
      <c r="D433">
        <v>17</v>
      </c>
      <c r="E433">
        <v>1</v>
      </c>
      <c r="G433">
        <v>17123</v>
      </c>
      <c r="I433" t="s">
        <v>62</v>
      </c>
      <c r="L433" t="s">
        <v>1792</v>
      </c>
      <c r="M433">
        <v>10.19</v>
      </c>
      <c r="N433">
        <v>40.799999999999997</v>
      </c>
      <c r="O433">
        <v>9.6199999999999992</v>
      </c>
      <c r="P433" s="3">
        <f t="shared" si="36"/>
        <v>0.94406280667320897</v>
      </c>
      <c r="Q433">
        <v>33.299999999999997</v>
      </c>
      <c r="R433" s="3">
        <f t="shared" si="37"/>
        <v>0.81617647058823528</v>
      </c>
      <c r="S433">
        <v>320</v>
      </c>
      <c r="T433">
        <v>10.09</v>
      </c>
      <c r="U433">
        <v>40.17</v>
      </c>
      <c r="V433">
        <v>9.6219999999999999</v>
      </c>
      <c r="W433" s="3">
        <f t="shared" si="38"/>
        <v>0.95361744301288409</v>
      </c>
      <c r="X433">
        <v>32.93</v>
      </c>
      <c r="Y433" s="3">
        <f t="shared" si="39"/>
        <v>0.81976599452327603</v>
      </c>
      <c r="Z433">
        <v>316.8</v>
      </c>
      <c r="AA433">
        <v>78.099999999999994</v>
      </c>
      <c r="AB433">
        <v>24.9</v>
      </c>
      <c r="AC433" t="s">
        <v>64</v>
      </c>
      <c r="AE433" t="s">
        <v>65</v>
      </c>
      <c r="AF433" t="s">
        <v>66</v>
      </c>
      <c r="AG433" t="s">
        <v>705</v>
      </c>
      <c r="AH433" s="1">
        <v>0.46966435185185185</v>
      </c>
      <c r="AI433" t="s">
        <v>68</v>
      </c>
      <c r="AJ433" t="s">
        <v>69</v>
      </c>
      <c r="AO433">
        <v>8.0920000000000005</v>
      </c>
      <c r="AP433">
        <v>41.503999999999998</v>
      </c>
      <c r="AQ433">
        <v>6.4</v>
      </c>
      <c r="AR433">
        <v>2.0299999999999998</v>
      </c>
      <c r="AS433">
        <v>37.863999999999997</v>
      </c>
      <c r="AT433">
        <v>25.6</v>
      </c>
      <c r="AY433">
        <v>2.36</v>
      </c>
      <c r="AZ433" t="s">
        <v>428</v>
      </c>
      <c r="BB433" t="s">
        <v>428</v>
      </c>
      <c r="BD433" t="s">
        <v>68</v>
      </c>
      <c r="BE433" t="s">
        <v>1886</v>
      </c>
      <c r="BF433" t="s">
        <v>1887</v>
      </c>
      <c r="BG433" t="s">
        <v>1888</v>
      </c>
      <c r="BH433">
        <v>0</v>
      </c>
      <c r="BI433">
        <v>0</v>
      </c>
      <c r="BJ433">
        <v>2</v>
      </c>
      <c r="BK433" t="s">
        <v>1889</v>
      </c>
      <c r="BL433">
        <v>8.8620000000000001</v>
      </c>
      <c r="BM433">
        <v>9.2479999999999993</v>
      </c>
      <c r="BN433" t="s">
        <v>1791</v>
      </c>
      <c r="BO433" s="1">
        <v>0.65925925925925921</v>
      </c>
      <c r="BP433" s="3">
        <f t="shared" si="40"/>
        <v>1.0101207634408824</v>
      </c>
      <c r="BQ433" s="3">
        <f t="shared" si="41"/>
        <v>1.0043979752717616</v>
      </c>
    </row>
    <row r="434" spans="1:69" hidden="1" x14ac:dyDescent="0.35">
      <c r="A434">
        <v>432</v>
      </c>
      <c r="B434">
        <v>3859</v>
      </c>
      <c r="D434">
        <v>17</v>
      </c>
      <c r="E434">
        <v>1</v>
      </c>
      <c r="G434">
        <v>17123</v>
      </c>
      <c r="I434" t="s">
        <v>62</v>
      </c>
      <c r="L434" t="s">
        <v>1786</v>
      </c>
      <c r="M434">
        <v>10.19</v>
      </c>
      <c r="N434">
        <v>40.799999999999997</v>
      </c>
      <c r="O434">
        <v>9.6199999999999992</v>
      </c>
      <c r="P434" s="3">
        <f t="shared" si="36"/>
        <v>0.94406280667320897</v>
      </c>
      <c r="Q434">
        <v>33.299999999999997</v>
      </c>
      <c r="R434" s="3">
        <f t="shared" si="37"/>
        <v>0.81617647058823528</v>
      </c>
      <c r="S434">
        <v>320</v>
      </c>
      <c r="T434">
        <v>10.1</v>
      </c>
      <c r="U434">
        <v>40.130000000000003</v>
      </c>
      <c r="V434">
        <v>9.6370000000000005</v>
      </c>
      <c r="W434" s="3">
        <f t="shared" si="38"/>
        <v>0.95415841584158423</v>
      </c>
      <c r="X434">
        <v>32.85</v>
      </c>
      <c r="Y434" s="3">
        <f t="shared" si="39"/>
        <v>0.81858958385247937</v>
      </c>
      <c r="Z434">
        <v>316.60000000000002</v>
      </c>
      <c r="AA434">
        <v>78.099999999999994</v>
      </c>
      <c r="AB434">
        <v>25.2</v>
      </c>
      <c r="AC434" t="s">
        <v>64</v>
      </c>
      <c r="AE434" t="s">
        <v>65</v>
      </c>
      <c r="AF434" t="s">
        <v>66</v>
      </c>
      <c r="AG434" s="2">
        <v>44471</v>
      </c>
      <c r="AH434" s="1">
        <v>0.55453703703703705</v>
      </c>
      <c r="AI434" t="s">
        <v>68</v>
      </c>
      <c r="AJ434" t="s">
        <v>69</v>
      </c>
      <c r="AO434">
        <v>8.1</v>
      </c>
      <c r="AP434">
        <v>41.5</v>
      </c>
      <c r="AQ434">
        <v>6.4</v>
      </c>
      <c r="AR434">
        <v>2</v>
      </c>
      <c r="AS434">
        <v>37.799999999999997</v>
      </c>
      <c r="AT434">
        <v>25.6</v>
      </c>
      <c r="AY434">
        <v>2.36</v>
      </c>
      <c r="AZ434" t="s">
        <v>81</v>
      </c>
      <c r="BB434" t="s">
        <v>81</v>
      </c>
      <c r="BD434" t="s">
        <v>68</v>
      </c>
      <c r="BE434" t="s">
        <v>1890</v>
      </c>
      <c r="BF434" t="s">
        <v>1891</v>
      </c>
      <c r="BG434" t="s">
        <v>1892</v>
      </c>
      <c r="BH434">
        <v>0</v>
      </c>
      <c r="BI434">
        <v>1</v>
      </c>
      <c r="BJ434">
        <v>2</v>
      </c>
      <c r="BK434" t="s">
        <v>1893</v>
      </c>
      <c r="BL434">
        <v>8.8620000000000001</v>
      </c>
      <c r="BM434">
        <v>9.2479999999999993</v>
      </c>
      <c r="BN434" t="s">
        <v>1791</v>
      </c>
      <c r="BO434" s="1">
        <v>0.45445601851851852</v>
      </c>
      <c r="BP434" s="3">
        <f t="shared" si="40"/>
        <v>1.0106937897531958</v>
      </c>
      <c r="BQ434" s="3">
        <f t="shared" si="41"/>
        <v>1.0029566072426774</v>
      </c>
    </row>
    <row r="435" spans="1:69" hidden="1" x14ac:dyDescent="0.35">
      <c r="A435">
        <v>433</v>
      </c>
      <c r="B435">
        <v>3859</v>
      </c>
      <c r="D435">
        <v>17</v>
      </c>
      <c r="E435">
        <v>1</v>
      </c>
      <c r="G435">
        <v>17123</v>
      </c>
      <c r="I435" t="s">
        <v>62</v>
      </c>
      <c r="L435" t="s">
        <v>1792</v>
      </c>
      <c r="M435">
        <v>10.19</v>
      </c>
      <c r="N435">
        <v>40.799999999999997</v>
      </c>
      <c r="O435">
        <v>9.6199999999999992</v>
      </c>
      <c r="P435" s="3">
        <f t="shared" si="36"/>
        <v>0.94406280667320897</v>
      </c>
      <c r="Q435">
        <v>33.299999999999997</v>
      </c>
      <c r="R435" s="3">
        <f t="shared" si="37"/>
        <v>0.81617647058823528</v>
      </c>
      <c r="S435">
        <v>320</v>
      </c>
      <c r="T435">
        <v>10.1</v>
      </c>
      <c r="U435">
        <v>40.19</v>
      </c>
      <c r="V435">
        <v>9.6479999999999997</v>
      </c>
      <c r="W435" s="3">
        <f t="shared" si="38"/>
        <v>0.95524752475247521</v>
      </c>
      <c r="X435">
        <v>32.97</v>
      </c>
      <c r="Y435" s="3">
        <f t="shared" si="39"/>
        <v>0.8203533217218214</v>
      </c>
      <c r="Z435">
        <v>318.10000000000002</v>
      </c>
      <c r="AA435">
        <v>78.3</v>
      </c>
      <c r="AB435">
        <v>24.8</v>
      </c>
      <c r="AC435" t="s">
        <v>64</v>
      </c>
      <c r="AE435" t="s">
        <v>65</v>
      </c>
      <c r="AF435" t="s">
        <v>66</v>
      </c>
      <c r="AG435" t="s">
        <v>705</v>
      </c>
      <c r="AH435" s="1">
        <v>0.48304398148148148</v>
      </c>
      <c r="AI435" t="s">
        <v>68</v>
      </c>
      <c r="AJ435" t="s">
        <v>69</v>
      </c>
      <c r="AO435">
        <v>8.0920000000000005</v>
      </c>
      <c r="AP435">
        <v>41.654000000000003</v>
      </c>
      <c r="AQ435">
        <v>6.4</v>
      </c>
      <c r="AR435">
        <v>2.02</v>
      </c>
      <c r="AS435">
        <v>37.975999999999999</v>
      </c>
      <c r="AT435">
        <v>25.6</v>
      </c>
      <c r="AY435">
        <v>2.36</v>
      </c>
      <c r="AZ435" t="s">
        <v>428</v>
      </c>
      <c r="BB435" t="s">
        <v>428</v>
      </c>
      <c r="BD435" t="s">
        <v>68</v>
      </c>
      <c r="BE435" t="s">
        <v>1894</v>
      </c>
      <c r="BF435" t="s">
        <v>1895</v>
      </c>
      <c r="BG435" t="s">
        <v>1896</v>
      </c>
      <c r="BH435">
        <v>0</v>
      </c>
      <c r="BI435">
        <v>0</v>
      </c>
      <c r="BJ435">
        <v>2</v>
      </c>
      <c r="BK435" t="s">
        <v>1897</v>
      </c>
      <c r="BL435">
        <v>8.8620000000000001</v>
      </c>
      <c r="BM435">
        <v>9.2479999999999993</v>
      </c>
      <c r="BN435" t="s">
        <v>1791</v>
      </c>
      <c r="BO435" s="1">
        <v>0.45445601851851852</v>
      </c>
      <c r="BP435" s="3">
        <f t="shared" si="40"/>
        <v>1.0118474300652518</v>
      </c>
      <c r="BQ435" s="3">
        <f t="shared" si="41"/>
        <v>1.0051175833708803</v>
      </c>
    </row>
    <row r="436" spans="1:69" hidden="1" x14ac:dyDescent="0.35">
      <c r="A436">
        <v>434</v>
      </c>
      <c r="B436">
        <v>4166</v>
      </c>
      <c r="D436">
        <v>17</v>
      </c>
      <c r="E436">
        <v>1</v>
      </c>
      <c r="G436">
        <v>17112.900000000001</v>
      </c>
      <c r="I436" t="s">
        <v>62</v>
      </c>
      <c r="L436" t="s">
        <v>426</v>
      </c>
      <c r="M436">
        <v>10.19</v>
      </c>
      <c r="N436">
        <v>40.799999999999997</v>
      </c>
      <c r="O436">
        <v>9.6199999999999992</v>
      </c>
      <c r="P436" s="3">
        <f t="shared" si="36"/>
        <v>0.94406280667320897</v>
      </c>
      <c r="Q436">
        <v>33.299999999999997</v>
      </c>
      <c r="R436" s="3">
        <f t="shared" si="37"/>
        <v>0.81617647058823528</v>
      </c>
      <c r="S436">
        <v>320</v>
      </c>
      <c r="T436">
        <v>10.130000000000001</v>
      </c>
      <c r="U436">
        <v>40.020000000000003</v>
      </c>
      <c r="V436">
        <v>9.6430000000000007</v>
      </c>
      <c r="W436" s="3">
        <f t="shared" si="38"/>
        <v>0.9519249753208292</v>
      </c>
      <c r="X436">
        <v>32.729999999999997</v>
      </c>
      <c r="Y436" s="3">
        <f t="shared" si="39"/>
        <v>0.81784107946026974</v>
      </c>
      <c r="Z436">
        <v>315.60000000000002</v>
      </c>
      <c r="AA436">
        <v>77.900000000000006</v>
      </c>
      <c r="AB436">
        <v>24.7</v>
      </c>
      <c r="AC436" t="s">
        <v>64</v>
      </c>
      <c r="AE436" t="s">
        <v>65</v>
      </c>
      <c r="AF436" t="s">
        <v>66</v>
      </c>
      <c r="AG436" t="s">
        <v>427</v>
      </c>
      <c r="AH436" s="1">
        <v>0.54429398148148145</v>
      </c>
      <c r="AI436" t="s">
        <v>68</v>
      </c>
      <c r="AJ436" t="s">
        <v>69</v>
      </c>
      <c r="AO436">
        <v>8.1069999999999993</v>
      </c>
      <c r="AP436">
        <v>41.728999999999999</v>
      </c>
      <c r="AQ436">
        <v>6.4</v>
      </c>
      <c r="AR436">
        <v>2.0299999999999998</v>
      </c>
      <c r="AS436">
        <v>37.939</v>
      </c>
      <c r="AT436">
        <v>25.6</v>
      </c>
      <c r="AY436">
        <v>2.36</v>
      </c>
      <c r="AZ436" t="s">
        <v>428</v>
      </c>
      <c r="BB436" t="s">
        <v>428</v>
      </c>
      <c r="BD436" t="s">
        <v>68</v>
      </c>
      <c r="BE436" t="s">
        <v>1898</v>
      </c>
      <c r="BF436" t="s">
        <v>1899</v>
      </c>
      <c r="BG436" t="s">
        <v>1900</v>
      </c>
      <c r="BH436">
        <v>0</v>
      </c>
      <c r="BI436">
        <v>0</v>
      </c>
      <c r="BJ436">
        <v>2</v>
      </c>
      <c r="BK436" t="s">
        <v>1901</v>
      </c>
      <c r="BL436">
        <v>8.8620000000000001</v>
      </c>
      <c r="BM436">
        <v>8.8620000000000001</v>
      </c>
      <c r="BN436" t="s">
        <v>425</v>
      </c>
      <c r="BO436" s="1">
        <v>0.63184027777777774</v>
      </c>
      <c r="BP436" s="3">
        <f t="shared" si="40"/>
        <v>1.0083280143990905</v>
      </c>
      <c r="BQ436" s="3">
        <f t="shared" si="41"/>
        <v>1.0020395207801502</v>
      </c>
    </row>
    <row r="437" spans="1:69" hidden="1" x14ac:dyDescent="0.35">
      <c r="A437">
        <v>435</v>
      </c>
      <c r="B437">
        <v>4166</v>
      </c>
      <c r="D437">
        <v>17</v>
      </c>
      <c r="E437">
        <v>1</v>
      </c>
      <c r="G437">
        <v>17102.8</v>
      </c>
      <c r="I437" t="s">
        <v>62</v>
      </c>
      <c r="L437" t="s">
        <v>1902</v>
      </c>
      <c r="M437">
        <v>10.19</v>
      </c>
      <c r="N437">
        <v>40.799999999999997</v>
      </c>
      <c r="O437">
        <v>9.6199999999999992</v>
      </c>
      <c r="P437" s="3">
        <f t="shared" si="36"/>
        <v>0.94406280667320897</v>
      </c>
      <c r="Q437">
        <v>33.299999999999997</v>
      </c>
      <c r="R437" s="3">
        <f t="shared" si="37"/>
        <v>0.81617647058823528</v>
      </c>
      <c r="S437">
        <v>320</v>
      </c>
      <c r="T437">
        <v>10.130000000000001</v>
      </c>
      <c r="U437">
        <v>39.950000000000003</v>
      </c>
      <c r="V437">
        <v>9.6370000000000005</v>
      </c>
      <c r="W437" s="3">
        <f t="shared" si="38"/>
        <v>0.95133267522211251</v>
      </c>
      <c r="X437">
        <v>32.51</v>
      </c>
      <c r="Y437" s="3">
        <f t="shared" si="39"/>
        <v>0.81376720901126398</v>
      </c>
      <c r="Z437">
        <v>313.39999999999998</v>
      </c>
      <c r="AA437">
        <v>77.400000000000006</v>
      </c>
      <c r="AB437">
        <v>25</v>
      </c>
      <c r="AC437" t="s">
        <v>64</v>
      </c>
      <c r="AE437" t="s">
        <v>65</v>
      </c>
      <c r="AF437" t="s">
        <v>66</v>
      </c>
      <c r="AG437" s="2">
        <v>44288</v>
      </c>
      <c r="AH437" s="1">
        <v>0.41457175925925926</v>
      </c>
      <c r="AI437" t="s">
        <v>68</v>
      </c>
      <c r="AJ437" t="s">
        <v>69</v>
      </c>
      <c r="AO437">
        <v>8.1069999999999993</v>
      </c>
      <c r="AP437">
        <v>41.054000000000002</v>
      </c>
      <c r="AQ437">
        <v>6.4</v>
      </c>
      <c r="AR437">
        <v>2.0449999999999999</v>
      </c>
      <c r="AS437">
        <v>37.188000000000002</v>
      </c>
      <c r="AT437">
        <v>25.6</v>
      </c>
      <c r="AY437">
        <v>2.36</v>
      </c>
      <c r="AZ437" s="2">
        <v>44410</v>
      </c>
      <c r="BB437" s="2">
        <v>44410</v>
      </c>
      <c r="BD437" t="s">
        <v>68</v>
      </c>
      <c r="BE437" t="s">
        <v>1903</v>
      </c>
      <c r="BF437" t="s">
        <v>1904</v>
      </c>
      <c r="BG437" t="s">
        <v>1905</v>
      </c>
      <c r="BH437">
        <v>0</v>
      </c>
      <c r="BI437">
        <v>1</v>
      </c>
      <c r="BJ437">
        <v>2</v>
      </c>
      <c r="BK437" t="s">
        <v>1906</v>
      </c>
      <c r="BL437">
        <v>8.8620000000000001</v>
      </c>
      <c r="BM437">
        <v>8.8620000000000001</v>
      </c>
      <c r="BN437" t="s">
        <v>425</v>
      </c>
      <c r="BO437" s="1">
        <v>0.63184027777777774</v>
      </c>
      <c r="BP437" s="3">
        <f t="shared" si="40"/>
        <v>1.0077006195959799</v>
      </c>
      <c r="BQ437" s="3">
        <f t="shared" si="41"/>
        <v>0.99704811194172882</v>
      </c>
    </row>
    <row r="438" spans="1:69" hidden="1" x14ac:dyDescent="0.35">
      <c r="A438">
        <v>436</v>
      </c>
      <c r="B438">
        <v>4163</v>
      </c>
      <c r="D438">
        <v>17</v>
      </c>
      <c r="E438">
        <v>1</v>
      </c>
      <c r="G438">
        <v>17112.900000000001</v>
      </c>
      <c r="I438" t="s">
        <v>62</v>
      </c>
      <c r="L438" t="s">
        <v>426</v>
      </c>
      <c r="M438">
        <v>10.19</v>
      </c>
      <c r="N438">
        <v>40.799999999999997</v>
      </c>
      <c r="O438">
        <v>9.6199999999999992</v>
      </c>
      <c r="P438" s="3">
        <f t="shared" si="36"/>
        <v>0.94406280667320897</v>
      </c>
      <c r="Q438">
        <v>33.299999999999997</v>
      </c>
      <c r="R438" s="3">
        <f t="shared" si="37"/>
        <v>0.81617647058823528</v>
      </c>
      <c r="S438">
        <v>320</v>
      </c>
      <c r="T438">
        <v>10.11</v>
      </c>
      <c r="U438">
        <v>40.1</v>
      </c>
      <c r="V438">
        <v>9.6359999999999992</v>
      </c>
      <c r="W438" s="3">
        <f t="shared" si="38"/>
        <v>0.95311572700296732</v>
      </c>
      <c r="X438">
        <v>32.76</v>
      </c>
      <c r="Y438" s="3">
        <f t="shared" si="39"/>
        <v>0.81695760598503731</v>
      </c>
      <c r="Z438">
        <v>315.7</v>
      </c>
      <c r="AA438">
        <v>77.900000000000006</v>
      </c>
      <c r="AB438">
        <v>24.7</v>
      </c>
      <c r="AC438" t="s">
        <v>64</v>
      </c>
      <c r="AE438" t="s">
        <v>65</v>
      </c>
      <c r="AF438" t="s">
        <v>66</v>
      </c>
      <c r="AG438" t="s">
        <v>427</v>
      </c>
      <c r="AH438" s="1">
        <v>0.54520833333333329</v>
      </c>
      <c r="AI438" t="s">
        <v>68</v>
      </c>
      <c r="AJ438" t="s">
        <v>69</v>
      </c>
      <c r="AO438">
        <v>8.1120000000000001</v>
      </c>
      <c r="AP438">
        <v>41.878999999999998</v>
      </c>
      <c r="AQ438">
        <v>6.4</v>
      </c>
      <c r="AR438">
        <v>2.0299999999999998</v>
      </c>
      <c r="AS438">
        <v>38.051000000000002</v>
      </c>
      <c r="AT438">
        <v>25.6</v>
      </c>
      <c r="AY438">
        <v>2.36</v>
      </c>
      <c r="AZ438" t="s">
        <v>428</v>
      </c>
      <c r="BB438" t="s">
        <v>428</v>
      </c>
      <c r="BD438" t="s">
        <v>68</v>
      </c>
      <c r="BE438" t="s">
        <v>1907</v>
      </c>
      <c r="BF438" t="s">
        <v>1908</v>
      </c>
      <c r="BG438" t="s">
        <v>1909</v>
      </c>
      <c r="BH438">
        <v>0</v>
      </c>
      <c r="BI438">
        <v>0</v>
      </c>
      <c r="BJ438">
        <v>2</v>
      </c>
      <c r="BK438" t="s">
        <v>1910</v>
      </c>
      <c r="BL438">
        <v>8.8620000000000001</v>
      </c>
      <c r="BM438">
        <v>8.8620000000000001</v>
      </c>
      <c r="BN438" t="s">
        <v>425</v>
      </c>
      <c r="BO438" s="1">
        <v>0.61119212962962965</v>
      </c>
      <c r="BP438" s="3">
        <f t="shared" si="40"/>
        <v>1.0095893199750767</v>
      </c>
      <c r="BQ438" s="3">
        <f t="shared" si="41"/>
        <v>1.0009570667924781</v>
      </c>
    </row>
    <row r="439" spans="1:69" hidden="1" x14ac:dyDescent="0.35">
      <c r="A439">
        <v>437</v>
      </c>
      <c r="B439">
        <v>4163</v>
      </c>
      <c r="D439">
        <v>17</v>
      </c>
      <c r="E439">
        <v>1</v>
      </c>
      <c r="G439">
        <v>17102.8</v>
      </c>
      <c r="I439" t="s">
        <v>62</v>
      </c>
      <c r="L439" t="s">
        <v>1902</v>
      </c>
      <c r="M439">
        <v>10.19</v>
      </c>
      <c r="N439">
        <v>40.799999999999997</v>
      </c>
      <c r="O439">
        <v>9.6199999999999992</v>
      </c>
      <c r="P439" s="3">
        <f t="shared" si="36"/>
        <v>0.94406280667320897</v>
      </c>
      <c r="Q439">
        <v>33.299999999999997</v>
      </c>
      <c r="R439" s="3">
        <f t="shared" si="37"/>
        <v>0.81617647058823528</v>
      </c>
      <c r="S439">
        <v>320</v>
      </c>
      <c r="T439">
        <v>10.1</v>
      </c>
      <c r="U439">
        <v>40.090000000000003</v>
      </c>
      <c r="V439">
        <v>9.6129999999999995</v>
      </c>
      <c r="W439" s="3">
        <f t="shared" si="38"/>
        <v>0.95178217821782174</v>
      </c>
      <c r="X439">
        <v>32.520000000000003</v>
      </c>
      <c r="Y439" s="3">
        <f t="shared" si="39"/>
        <v>0.81117485657271138</v>
      </c>
      <c r="Z439">
        <v>312.60000000000002</v>
      </c>
      <c r="AA439">
        <v>77.2</v>
      </c>
      <c r="AB439">
        <v>24.8</v>
      </c>
      <c r="AC439" t="s">
        <v>64</v>
      </c>
      <c r="AE439" t="s">
        <v>65</v>
      </c>
      <c r="AF439" t="s">
        <v>66</v>
      </c>
      <c r="AG439" s="2">
        <v>44288</v>
      </c>
      <c r="AH439" s="1">
        <v>0.41543981481481479</v>
      </c>
      <c r="AI439" t="s">
        <v>68</v>
      </c>
      <c r="AJ439" t="s">
        <v>69</v>
      </c>
      <c r="AO439">
        <v>8.1120000000000001</v>
      </c>
      <c r="AP439">
        <v>41.165999999999997</v>
      </c>
      <c r="AQ439">
        <v>6.4</v>
      </c>
      <c r="AR439">
        <v>2.0449999999999999</v>
      </c>
      <c r="AS439">
        <v>37.338000000000001</v>
      </c>
      <c r="AT439">
        <v>25.6</v>
      </c>
      <c r="AY439">
        <v>2.36</v>
      </c>
      <c r="AZ439" s="2">
        <v>44410</v>
      </c>
      <c r="BB439" s="2">
        <v>44410</v>
      </c>
      <c r="BD439" t="s">
        <v>68</v>
      </c>
      <c r="BE439" t="s">
        <v>1911</v>
      </c>
      <c r="BF439" t="s">
        <v>1912</v>
      </c>
      <c r="BG439" t="s">
        <v>1913</v>
      </c>
      <c r="BH439">
        <v>0</v>
      </c>
      <c r="BI439">
        <v>1</v>
      </c>
      <c r="BJ439">
        <v>2</v>
      </c>
      <c r="BK439" t="s">
        <v>1914</v>
      </c>
      <c r="BL439">
        <v>8.8620000000000001</v>
      </c>
      <c r="BM439">
        <v>8.8620000000000001</v>
      </c>
      <c r="BN439" t="s">
        <v>425</v>
      </c>
      <c r="BO439" s="1">
        <v>0.61119212962962965</v>
      </c>
      <c r="BP439" s="3">
        <f t="shared" si="40"/>
        <v>1.0081767563450732</v>
      </c>
      <c r="BQ439" s="3">
        <f t="shared" si="41"/>
        <v>0.9938718963413401</v>
      </c>
    </row>
    <row r="440" spans="1:69" hidden="1" x14ac:dyDescent="0.35">
      <c r="A440">
        <v>438</v>
      </c>
      <c r="B440">
        <v>4170</v>
      </c>
      <c r="D440">
        <v>17</v>
      </c>
      <c r="E440">
        <v>1</v>
      </c>
      <c r="G440">
        <v>17112.900000000001</v>
      </c>
      <c r="I440" t="s">
        <v>62</v>
      </c>
      <c r="L440" t="s">
        <v>426</v>
      </c>
      <c r="M440">
        <v>10.19</v>
      </c>
      <c r="N440">
        <v>40.799999999999997</v>
      </c>
      <c r="O440">
        <v>9.6199999999999992</v>
      </c>
      <c r="P440" s="3">
        <f t="shared" si="36"/>
        <v>0.94406280667320897</v>
      </c>
      <c r="Q440">
        <v>33.299999999999997</v>
      </c>
      <c r="R440" s="3">
        <f t="shared" si="37"/>
        <v>0.81617647058823528</v>
      </c>
      <c r="S440">
        <v>320</v>
      </c>
      <c r="T440">
        <v>10.14</v>
      </c>
      <c r="U440">
        <v>40.119999999999997</v>
      </c>
      <c r="V440">
        <v>9.6470000000000002</v>
      </c>
      <c r="W440" s="3">
        <f t="shared" si="38"/>
        <v>0.95138067061143983</v>
      </c>
      <c r="X440">
        <v>32.79</v>
      </c>
      <c r="Y440" s="3">
        <f t="shared" si="39"/>
        <v>0.81729810568295114</v>
      </c>
      <c r="Z440">
        <v>316.3</v>
      </c>
      <c r="AA440">
        <v>77.8</v>
      </c>
      <c r="AB440">
        <v>24.9</v>
      </c>
      <c r="AC440" t="s">
        <v>64</v>
      </c>
      <c r="AE440" t="s">
        <v>65</v>
      </c>
      <c r="AF440" t="s">
        <v>66</v>
      </c>
      <c r="AG440" t="s">
        <v>427</v>
      </c>
      <c r="AH440" s="1">
        <v>0.55076388888888894</v>
      </c>
      <c r="AI440" t="s">
        <v>68</v>
      </c>
      <c r="AJ440" t="s">
        <v>69</v>
      </c>
      <c r="AO440">
        <v>8.1069999999999993</v>
      </c>
      <c r="AP440">
        <v>41.804000000000002</v>
      </c>
      <c r="AQ440">
        <v>6.4</v>
      </c>
      <c r="AR440">
        <v>2.0299999999999998</v>
      </c>
      <c r="AS440">
        <v>38.014000000000003</v>
      </c>
      <c r="AT440">
        <v>25.6</v>
      </c>
      <c r="AY440">
        <v>2.36</v>
      </c>
      <c r="AZ440" t="s">
        <v>428</v>
      </c>
      <c r="BB440" t="s">
        <v>428</v>
      </c>
      <c r="BD440" t="s">
        <v>68</v>
      </c>
      <c r="BE440" t="s">
        <v>1915</v>
      </c>
      <c r="BF440" t="s">
        <v>1916</v>
      </c>
      <c r="BG440" t="s">
        <v>1917</v>
      </c>
      <c r="BH440">
        <v>0</v>
      </c>
      <c r="BI440">
        <v>0</v>
      </c>
      <c r="BJ440">
        <v>2</v>
      </c>
      <c r="BK440" t="s">
        <v>1918</v>
      </c>
      <c r="BL440">
        <v>8.8620000000000001</v>
      </c>
      <c r="BM440">
        <v>8.8620000000000001</v>
      </c>
      <c r="BN440" t="s">
        <v>425</v>
      </c>
      <c r="BO440" s="1">
        <v>0.64003472222222224</v>
      </c>
      <c r="BP440" s="3">
        <f t="shared" si="40"/>
        <v>1.0077514587869618</v>
      </c>
      <c r="BQ440" s="3">
        <f t="shared" si="41"/>
        <v>1.0013742556115437</v>
      </c>
    </row>
    <row r="441" spans="1:69" hidden="1" x14ac:dyDescent="0.35">
      <c r="A441">
        <v>439</v>
      </c>
      <c r="B441">
        <v>4170</v>
      </c>
      <c r="D441">
        <v>17</v>
      </c>
      <c r="E441">
        <v>1</v>
      </c>
      <c r="G441">
        <v>17102.8</v>
      </c>
      <c r="I441" t="s">
        <v>62</v>
      </c>
      <c r="L441" t="s">
        <v>1902</v>
      </c>
      <c r="M441">
        <v>10.19</v>
      </c>
      <c r="N441">
        <v>40.799999999999997</v>
      </c>
      <c r="O441">
        <v>9.6199999999999992</v>
      </c>
      <c r="P441" s="3">
        <f t="shared" si="36"/>
        <v>0.94406280667320897</v>
      </c>
      <c r="Q441">
        <v>33.299999999999997</v>
      </c>
      <c r="R441" s="3">
        <f t="shared" si="37"/>
        <v>0.81617647058823528</v>
      </c>
      <c r="S441">
        <v>320</v>
      </c>
      <c r="T441">
        <v>10.130000000000001</v>
      </c>
      <c r="U441">
        <v>40.1</v>
      </c>
      <c r="V441">
        <v>9.6379999999999999</v>
      </c>
      <c r="W441" s="3">
        <f t="shared" si="38"/>
        <v>0.95143139190523185</v>
      </c>
      <c r="X441">
        <v>32.67</v>
      </c>
      <c r="Y441" s="3">
        <f t="shared" si="39"/>
        <v>0.81471321695760601</v>
      </c>
      <c r="Z441">
        <v>314.89999999999998</v>
      </c>
      <c r="AA441">
        <v>77.5</v>
      </c>
      <c r="AB441">
        <v>24.6</v>
      </c>
      <c r="AC441" t="s">
        <v>64</v>
      </c>
      <c r="AE441" t="s">
        <v>65</v>
      </c>
      <c r="AF441" t="s">
        <v>66</v>
      </c>
      <c r="AG441" s="2">
        <v>44288</v>
      </c>
      <c r="AH441" s="1">
        <v>0.4167939814814815</v>
      </c>
      <c r="AI441" t="s">
        <v>68</v>
      </c>
      <c r="AJ441" t="s">
        <v>69</v>
      </c>
      <c r="AO441">
        <v>8.1069999999999993</v>
      </c>
      <c r="AP441">
        <v>41.128999999999998</v>
      </c>
      <c r="AQ441">
        <v>6.4</v>
      </c>
      <c r="AR441">
        <v>2.0449999999999999</v>
      </c>
      <c r="AS441">
        <v>37.375999999999998</v>
      </c>
      <c r="AT441">
        <v>25.6</v>
      </c>
      <c r="AY441">
        <v>2.36</v>
      </c>
      <c r="AZ441" s="2">
        <v>44410</v>
      </c>
      <c r="BB441" s="2">
        <v>44410</v>
      </c>
      <c r="BD441" t="s">
        <v>68</v>
      </c>
      <c r="BE441" t="s">
        <v>1919</v>
      </c>
      <c r="BF441" t="s">
        <v>1920</v>
      </c>
      <c r="BG441" t="s">
        <v>1921</v>
      </c>
      <c r="BH441">
        <v>0</v>
      </c>
      <c r="BI441">
        <v>1</v>
      </c>
      <c r="BJ441">
        <v>2</v>
      </c>
      <c r="BK441" t="s">
        <v>1922</v>
      </c>
      <c r="BL441">
        <v>8.8620000000000001</v>
      </c>
      <c r="BM441">
        <v>8.8620000000000001</v>
      </c>
      <c r="BN441" t="s">
        <v>425</v>
      </c>
      <c r="BO441" s="1">
        <v>0.64003472222222224</v>
      </c>
      <c r="BP441" s="3">
        <f t="shared" si="40"/>
        <v>1.0078051853964982</v>
      </c>
      <c r="BQ441" s="3">
        <f t="shared" si="41"/>
        <v>0.99820718474085057</v>
      </c>
    </row>
    <row r="442" spans="1:69" hidden="1" x14ac:dyDescent="0.35">
      <c r="A442">
        <v>440</v>
      </c>
      <c r="B442">
        <v>4171</v>
      </c>
      <c r="D442">
        <v>17</v>
      </c>
      <c r="E442">
        <v>1</v>
      </c>
      <c r="G442">
        <v>17112.900000000001</v>
      </c>
      <c r="I442" t="s">
        <v>62</v>
      </c>
      <c r="L442" t="s">
        <v>426</v>
      </c>
      <c r="M442">
        <v>10.19</v>
      </c>
      <c r="N442">
        <v>40.799999999999997</v>
      </c>
      <c r="O442">
        <v>9.6199999999999992</v>
      </c>
      <c r="P442" s="3">
        <f t="shared" si="36"/>
        <v>0.94406280667320897</v>
      </c>
      <c r="Q442">
        <v>33.299999999999997</v>
      </c>
      <c r="R442" s="3">
        <f t="shared" si="37"/>
        <v>0.81617647058823528</v>
      </c>
      <c r="S442">
        <v>320</v>
      </c>
      <c r="T442">
        <v>10.1</v>
      </c>
      <c r="U442">
        <v>40.090000000000003</v>
      </c>
      <c r="V442">
        <v>9.6419999999999995</v>
      </c>
      <c r="W442" s="3">
        <f t="shared" si="38"/>
        <v>0.95465346534653461</v>
      </c>
      <c r="X442">
        <v>32.83</v>
      </c>
      <c r="Y442" s="3">
        <f t="shared" si="39"/>
        <v>0.81890745821900712</v>
      </c>
      <c r="Z442">
        <v>316.5</v>
      </c>
      <c r="AA442">
        <v>78.2</v>
      </c>
      <c r="AB442">
        <v>25</v>
      </c>
      <c r="AC442" t="s">
        <v>64</v>
      </c>
      <c r="AE442" t="s">
        <v>65</v>
      </c>
      <c r="AF442" t="s">
        <v>66</v>
      </c>
      <c r="AG442" t="s">
        <v>427</v>
      </c>
      <c r="AH442" s="1">
        <v>0.55363425925925924</v>
      </c>
      <c r="AI442" t="s">
        <v>68</v>
      </c>
      <c r="AJ442" t="s">
        <v>69</v>
      </c>
      <c r="AO442">
        <v>8.1120000000000001</v>
      </c>
      <c r="AP442">
        <v>41.579000000000001</v>
      </c>
      <c r="AQ442">
        <v>6.4</v>
      </c>
      <c r="AR442">
        <v>2.0299999999999998</v>
      </c>
      <c r="AS442">
        <v>37.826000000000001</v>
      </c>
      <c r="AT442">
        <v>25.6</v>
      </c>
      <c r="AY442">
        <v>2.36</v>
      </c>
      <c r="AZ442" t="s">
        <v>428</v>
      </c>
      <c r="BB442" t="s">
        <v>428</v>
      </c>
      <c r="BD442" t="s">
        <v>68</v>
      </c>
      <c r="BE442" t="s">
        <v>1923</v>
      </c>
      <c r="BF442" t="s">
        <v>1924</v>
      </c>
      <c r="BG442" t="s">
        <v>1925</v>
      </c>
      <c r="BH442">
        <v>0</v>
      </c>
      <c r="BI442">
        <v>0</v>
      </c>
      <c r="BJ442">
        <v>2</v>
      </c>
      <c r="BK442" t="s">
        <v>1926</v>
      </c>
      <c r="BL442">
        <v>8.8620000000000001</v>
      </c>
      <c r="BM442">
        <v>8.8620000000000001</v>
      </c>
      <c r="BN442" t="s">
        <v>425</v>
      </c>
      <c r="BO442" s="1">
        <v>0.6416898148148148</v>
      </c>
      <c r="BP442" s="3">
        <f t="shared" si="40"/>
        <v>1.0112181717132211</v>
      </c>
      <c r="BQ442" s="3">
        <f t="shared" si="41"/>
        <v>1.0033460749349998</v>
      </c>
    </row>
    <row r="443" spans="1:69" hidden="1" x14ac:dyDescent="0.35">
      <c r="A443">
        <v>441</v>
      </c>
      <c r="B443">
        <v>4171</v>
      </c>
      <c r="D443">
        <v>17</v>
      </c>
      <c r="E443">
        <v>1</v>
      </c>
      <c r="G443">
        <v>17102.8</v>
      </c>
      <c r="I443" t="s">
        <v>62</v>
      </c>
      <c r="L443" t="s">
        <v>1902</v>
      </c>
      <c r="M443">
        <v>10.19</v>
      </c>
      <c r="N443">
        <v>40.799999999999997</v>
      </c>
      <c r="O443">
        <v>9.6199999999999992</v>
      </c>
      <c r="P443" s="3">
        <f t="shared" si="36"/>
        <v>0.94406280667320897</v>
      </c>
      <c r="Q443">
        <v>33.299999999999997</v>
      </c>
      <c r="R443" s="3">
        <f t="shared" si="37"/>
        <v>0.81617647058823528</v>
      </c>
      <c r="S443">
        <v>320</v>
      </c>
      <c r="T443">
        <v>10.1</v>
      </c>
      <c r="U443">
        <v>40.020000000000003</v>
      </c>
      <c r="V443">
        <v>9.6370000000000005</v>
      </c>
      <c r="W443" s="3">
        <f t="shared" si="38"/>
        <v>0.95415841584158423</v>
      </c>
      <c r="X443">
        <v>32.659999999999997</v>
      </c>
      <c r="Y443" s="3">
        <f t="shared" si="39"/>
        <v>0.8160919540229884</v>
      </c>
      <c r="Z443">
        <v>314.7</v>
      </c>
      <c r="AA443">
        <v>77.900000000000006</v>
      </c>
      <c r="AB443">
        <v>25.4</v>
      </c>
      <c r="AC443" t="s">
        <v>64</v>
      </c>
      <c r="AE443" t="s">
        <v>65</v>
      </c>
      <c r="AF443" t="s">
        <v>66</v>
      </c>
      <c r="AG443" s="2">
        <v>44288</v>
      </c>
      <c r="AH443" s="1">
        <v>0.41973379629629631</v>
      </c>
      <c r="AI443" t="s">
        <v>68</v>
      </c>
      <c r="AJ443" t="s">
        <v>69</v>
      </c>
      <c r="AO443">
        <v>8.1120000000000001</v>
      </c>
      <c r="AP443">
        <v>41.128999999999998</v>
      </c>
      <c r="AQ443">
        <v>6.4</v>
      </c>
      <c r="AR443">
        <v>2.0449999999999999</v>
      </c>
      <c r="AS443">
        <v>37.301000000000002</v>
      </c>
      <c r="AT443">
        <v>25.6</v>
      </c>
      <c r="AY443">
        <v>2.36</v>
      </c>
      <c r="AZ443" s="2">
        <v>44410</v>
      </c>
      <c r="BB443" s="2">
        <v>44410</v>
      </c>
      <c r="BD443" t="s">
        <v>68</v>
      </c>
      <c r="BE443" t="s">
        <v>1927</v>
      </c>
      <c r="BF443" t="s">
        <v>1928</v>
      </c>
      <c r="BG443" t="s">
        <v>1929</v>
      </c>
      <c r="BH443">
        <v>0</v>
      </c>
      <c r="BI443">
        <v>1</v>
      </c>
      <c r="BJ443">
        <v>2</v>
      </c>
      <c r="BK443" t="s">
        <v>1930</v>
      </c>
      <c r="BL443">
        <v>8.8620000000000001</v>
      </c>
      <c r="BM443">
        <v>8.8620000000000001</v>
      </c>
      <c r="BN443" t="s">
        <v>425</v>
      </c>
      <c r="BO443" s="1">
        <v>0.6416898148148148</v>
      </c>
      <c r="BP443" s="3">
        <f t="shared" si="40"/>
        <v>1.0106937897531958</v>
      </c>
      <c r="BQ443" s="3">
        <f t="shared" si="41"/>
        <v>0.99989644817231016</v>
      </c>
    </row>
    <row r="444" spans="1:69" hidden="1" x14ac:dyDescent="0.35">
      <c r="A444">
        <v>442</v>
      </c>
      <c r="B444">
        <v>4168</v>
      </c>
      <c r="D444">
        <v>17</v>
      </c>
      <c r="E444">
        <v>1</v>
      </c>
      <c r="G444">
        <v>17112.900000000001</v>
      </c>
      <c r="I444" t="s">
        <v>62</v>
      </c>
      <c r="L444" t="s">
        <v>426</v>
      </c>
      <c r="M444">
        <v>10.19</v>
      </c>
      <c r="N444">
        <v>40.799999999999997</v>
      </c>
      <c r="O444">
        <v>9.6199999999999992</v>
      </c>
      <c r="P444" s="3">
        <f t="shared" si="36"/>
        <v>0.94406280667320897</v>
      </c>
      <c r="Q444">
        <v>33.299999999999997</v>
      </c>
      <c r="R444" s="3">
        <f t="shared" si="37"/>
        <v>0.81617647058823528</v>
      </c>
      <c r="S444">
        <v>320</v>
      </c>
      <c r="T444">
        <v>10.130000000000001</v>
      </c>
      <c r="U444">
        <v>40.1</v>
      </c>
      <c r="V444">
        <v>9.66</v>
      </c>
      <c r="W444" s="3">
        <f t="shared" si="38"/>
        <v>0.95360315893385972</v>
      </c>
      <c r="X444">
        <v>32.79</v>
      </c>
      <c r="Y444" s="3">
        <f t="shared" si="39"/>
        <v>0.81770573566084781</v>
      </c>
      <c r="Z444">
        <v>316.8</v>
      </c>
      <c r="AA444">
        <v>78</v>
      </c>
      <c r="AB444">
        <v>24.9</v>
      </c>
      <c r="AC444" t="s">
        <v>64</v>
      </c>
      <c r="AE444" t="s">
        <v>65</v>
      </c>
      <c r="AF444" t="s">
        <v>66</v>
      </c>
      <c r="AG444" t="s">
        <v>427</v>
      </c>
      <c r="AH444" s="1">
        <v>0.54871527777777773</v>
      </c>
      <c r="AI444" t="s">
        <v>68</v>
      </c>
      <c r="AJ444" t="s">
        <v>69</v>
      </c>
      <c r="AO444">
        <v>8.1120000000000001</v>
      </c>
      <c r="AP444">
        <v>41.878999999999998</v>
      </c>
      <c r="AQ444">
        <v>6.4</v>
      </c>
      <c r="AR444">
        <v>2.0299999999999998</v>
      </c>
      <c r="AS444">
        <v>38.088999999999999</v>
      </c>
      <c r="AT444">
        <v>25.6</v>
      </c>
      <c r="AY444">
        <v>2.36</v>
      </c>
      <c r="AZ444" t="s">
        <v>428</v>
      </c>
      <c r="BB444" t="s">
        <v>428</v>
      </c>
      <c r="BD444" t="s">
        <v>68</v>
      </c>
      <c r="BE444" t="s">
        <v>1931</v>
      </c>
      <c r="BF444" t="s">
        <v>1932</v>
      </c>
      <c r="BG444" t="s">
        <v>1933</v>
      </c>
      <c r="BH444">
        <v>0</v>
      </c>
      <c r="BI444">
        <v>0</v>
      </c>
      <c r="BJ444">
        <v>2</v>
      </c>
      <c r="BK444" t="s">
        <v>1934</v>
      </c>
      <c r="BL444">
        <v>8.8620000000000001</v>
      </c>
      <c r="BM444">
        <v>8.8620000000000001</v>
      </c>
      <c r="BN444" t="s">
        <v>425</v>
      </c>
      <c r="BO444" s="1">
        <v>0.6352430555555556</v>
      </c>
      <c r="BP444" s="3">
        <f t="shared" si="40"/>
        <v>1.0101056330079035</v>
      </c>
      <c r="BQ444" s="3">
        <f t="shared" si="41"/>
        <v>1.0018736941430209</v>
      </c>
    </row>
    <row r="445" spans="1:69" hidden="1" x14ac:dyDescent="0.35">
      <c r="A445">
        <v>443</v>
      </c>
      <c r="B445">
        <v>4168</v>
      </c>
      <c r="D445">
        <v>17</v>
      </c>
      <c r="E445">
        <v>1</v>
      </c>
      <c r="G445">
        <v>17102.8</v>
      </c>
      <c r="I445" t="s">
        <v>62</v>
      </c>
      <c r="L445" t="s">
        <v>1902</v>
      </c>
      <c r="M445">
        <v>10.19</v>
      </c>
      <c r="N445">
        <v>40.799999999999997</v>
      </c>
      <c r="O445">
        <v>9.6199999999999992</v>
      </c>
      <c r="P445" s="3">
        <f t="shared" si="36"/>
        <v>0.94406280667320897</v>
      </c>
      <c r="Q445">
        <v>33.299999999999997</v>
      </c>
      <c r="R445" s="3">
        <f t="shared" si="37"/>
        <v>0.81617647058823528</v>
      </c>
      <c r="S445">
        <v>320</v>
      </c>
      <c r="T445">
        <v>10.130000000000001</v>
      </c>
      <c r="U445">
        <v>40.090000000000003</v>
      </c>
      <c r="V445">
        <v>9.6460000000000008</v>
      </c>
      <c r="W445" s="3">
        <f t="shared" si="38"/>
        <v>0.95222112537018755</v>
      </c>
      <c r="X445">
        <v>32.61</v>
      </c>
      <c r="Y445" s="3">
        <f t="shared" si="39"/>
        <v>0.81341980543776493</v>
      </c>
      <c r="Z445">
        <v>314.60000000000002</v>
      </c>
      <c r="AA445">
        <v>77.5</v>
      </c>
      <c r="AB445">
        <v>25</v>
      </c>
      <c r="AC445" t="s">
        <v>64</v>
      </c>
      <c r="AE445" t="s">
        <v>65</v>
      </c>
      <c r="AF445" t="s">
        <v>66</v>
      </c>
      <c r="AG445" s="2">
        <v>44288</v>
      </c>
      <c r="AH445" s="1">
        <v>0.41609953703703706</v>
      </c>
      <c r="AI445" t="s">
        <v>68</v>
      </c>
      <c r="AJ445" t="s">
        <v>69</v>
      </c>
      <c r="AO445">
        <v>8.1120000000000001</v>
      </c>
      <c r="AP445">
        <v>41.204000000000001</v>
      </c>
      <c r="AQ445">
        <v>6.4</v>
      </c>
      <c r="AR445">
        <v>2.0449999999999999</v>
      </c>
      <c r="AS445">
        <v>37.338000000000001</v>
      </c>
      <c r="AT445">
        <v>25.6</v>
      </c>
      <c r="AY445">
        <v>2.36</v>
      </c>
      <c r="AZ445" s="2">
        <v>44410</v>
      </c>
      <c r="BB445" s="2">
        <v>44410</v>
      </c>
      <c r="BD445" t="s">
        <v>68</v>
      </c>
      <c r="BE445" t="s">
        <v>1935</v>
      </c>
      <c r="BF445" t="s">
        <v>1936</v>
      </c>
      <c r="BG445" t="s">
        <v>1937</v>
      </c>
      <c r="BH445">
        <v>0</v>
      </c>
      <c r="BI445">
        <v>1</v>
      </c>
      <c r="BJ445">
        <v>2</v>
      </c>
      <c r="BK445" t="s">
        <v>1938</v>
      </c>
      <c r="BL445">
        <v>8.8620000000000001</v>
      </c>
      <c r="BM445">
        <v>8.8620000000000001</v>
      </c>
      <c r="BN445" t="s">
        <v>425</v>
      </c>
      <c r="BO445" s="1">
        <v>0.6352430555555556</v>
      </c>
      <c r="BP445" s="3">
        <f t="shared" si="40"/>
        <v>1.0086417118006457</v>
      </c>
      <c r="BQ445" s="3">
        <f t="shared" si="41"/>
        <v>0.99662246432014445</v>
      </c>
    </row>
    <row r="446" spans="1:69" hidden="1" x14ac:dyDescent="0.35">
      <c r="A446">
        <v>444</v>
      </c>
      <c r="B446">
        <v>4169</v>
      </c>
      <c r="D446">
        <v>17</v>
      </c>
      <c r="E446">
        <v>1</v>
      </c>
      <c r="G446">
        <v>17112.900000000001</v>
      </c>
      <c r="I446" t="s">
        <v>62</v>
      </c>
      <c r="L446" t="s">
        <v>426</v>
      </c>
      <c r="M446">
        <v>10.19</v>
      </c>
      <c r="N446">
        <v>40.799999999999997</v>
      </c>
      <c r="O446">
        <v>9.6199999999999992</v>
      </c>
      <c r="P446" s="3">
        <f t="shared" si="36"/>
        <v>0.94406280667320897</v>
      </c>
      <c r="Q446">
        <v>33.299999999999997</v>
      </c>
      <c r="R446" s="3">
        <f t="shared" si="37"/>
        <v>0.81617647058823528</v>
      </c>
      <c r="S446">
        <v>320</v>
      </c>
      <c r="T446">
        <v>10.119999999999999</v>
      </c>
      <c r="U446">
        <v>40.07</v>
      </c>
      <c r="V446">
        <v>9.6519999999999992</v>
      </c>
      <c r="W446" s="3">
        <f t="shared" si="38"/>
        <v>0.9537549407114625</v>
      </c>
      <c r="X446">
        <v>32.78</v>
      </c>
      <c r="Y446" s="3">
        <f t="shared" si="39"/>
        <v>0.81806838033441476</v>
      </c>
      <c r="Z446">
        <v>316.39999999999998</v>
      </c>
      <c r="AA446">
        <v>78</v>
      </c>
      <c r="AB446">
        <v>25</v>
      </c>
      <c r="AC446" t="s">
        <v>64</v>
      </c>
      <c r="AE446" t="s">
        <v>65</v>
      </c>
      <c r="AF446" t="s">
        <v>66</v>
      </c>
      <c r="AG446" t="s">
        <v>427</v>
      </c>
      <c r="AH446" s="1">
        <v>0.55175925925925928</v>
      </c>
      <c r="AI446" t="s">
        <v>68</v>
      </c>
      <c r="AJ446" t="s">
        <v>69</v>
      </c>
      <c r="AO446">
        <v>8.1120000000000001</v>
      </c>
      <c r="AP446">
        <v>41.728999999999999</v>
      </c>
      <c r="AQ446">
        <v>6.4</v>
      </c>
      <c r="AR446">
        <v>2.0299999999999998</v>
      </c>
      <c r="AS446">
        <v>37.975999999999999</v>
      </c>
      <c r="AT446">
        <v>25.6</v>
      </c>
      <c r="AY446">
        <v>2.36</v>
      </c>
      <c r="AZ446" t="s">
        <v>428</v>
      </c>
      <c r="BB446" t="s">
        <v>428</v>
      </c>
      <c r="BD446" t="s">
        <v>68</v>
      </c>
      <c r="BE446" t="s">
        <v>1939</v>
      </c>
      <c r="BF446" t="s">
        <v>1940</v>
      </c>
      <c r="BG446" t="s">
        <v>1941</v>
      </c>
      <c r="BH446">
        <v>0</v>
      </c>
      <c r="BI446">
        <v>0</v>
      </c>
      <c r="BJ446">
        <v>2</v>
      </c>
      <c r="BK446" t="s">
        <v>1942</v>
      </c>
      <c r="BL446">
        <v>8.8620000000000001</v>
      </c>
      <c r="BM446">
        <v>8.8620000000000001</v>
      </c>
      <c r="BN446" t="s">
        <v>425</v>
      </c>
      <c r="BO446" s="1">
        <v>0.63701388888888888</v>
      </c>
      <c r="BP446" s="3">
        <f t="shared" si="40"/>
        <v>1.0102664080924952</v>
      </c>
      <c r="BQ446" s="3">
        <f t="shared" si="41"/>
        <v>1.0023180155448685</v>
      </c>
    </row>
    <row r="447" spans="1:69" hidden="1" x14ac:dyDescent="0.35">
      <c r="A447">
        <v>445</v>
      </c>
      <c r="B447">
        <v>4169</v>
      </c>
      <c r="D447">
        <v>17</v>
      </c>
      <c r="E447">
        <v>1</v>
      </c>
      <c r="G447">
        <v>17102.8</v>
      </c>
      <c r="I447" t="s">
        <v>62</v>
      </c>
      <c r="L447" t="s">
        <v>1902</v>
      </c>
      <c r="M447">
        <v>10.19</v>
      </c>
      <c r="N447">
        <v>40.799999999999997</v>
      </c>
      <c r="O447">
        <v>9.6199999999999992</v>
      </c>
      <c r="P447" s="3">
        <f t="shared" si="36"/>
        <v>0.94406280667320897</v>
      </c>
      <c r="Q447">
        <v>33.299999999999997</v>
      </c>
      <c r="R447" s="3">
        <f t="shared" si="37"/>
        <v>0.81617647058823528</v>
      </c>
      <c r="S447">
        <v>320</v>
      </c>
      <c r="T447">
        <v>10.130000000000001</v>
      </c>
      <c r="U447">
        <v>39.97</v>
      </c>
      <c r="V447">
        <v>9.6460000000000008</v>
      </c>
      <c r="W447" s="3">
        <f t="shared" si="38"/>
        <v>0.95222112537018755</v>
      </c>
      <c r="X447">
        <v>32.54</v>
      </c>
      <c r="Y447" s="3">
        <f t="shared" si="39"/>
        <v>0.81411058293720295</v>
      </c>
      <c r="Z447">
        <v>313.89999999999998</v>
      </c>
      <c r="AA447">
        <v>77.5</v>
      </c>
      <c r="AB447">
        <v>25.3</v>
      </c>
      <c r="AC447" t="s">
        <v>64</v>
      </c>
      <c r="AE447" t="s">
        <v>65</v>
      </c>
      <c r="AF447" t="s">
        <v>66</v>
      </c>
      <c r="AG447" s="2">
        <v>44288</v>
      </c>
      <c r="AH447" s="1">
        <v>0.4191435185185185</v>
      </c>
      <c r="AI447" t="s">
        <v>68</v>
      </c>
      <c r="AJ447" t="s">
        <v>69</v>
      </c>
      <c r="AO447">
        <v>8.1120000000000001</v>
      </c>
      <c r="AP447">
        <v>40.978999999999999</v>
      </c>
      <c r="AQ447">
        <v>6.4</v>
      </c>
      <c r="AR447">
        <v>2.0449999999999999</v>
      </c>
      <c r="AS447">
        <v>37.188000000000002</v>
      </c>
      <c r="AT447">
        <v>25.6</v>
      </c>
      <c r="AY447">
        <v>2.36</v>
      </c>
      <c r="AZ447" s="2">
        <v>44410</v>
      </c>
      <c r="BB447" s="2">
        <v>44410</v>
      </c>
      <c r="BD447" t="s">
        <v>68</v>
      </c>
      <c r="BE447" t="s">
        <v>1943</v>
      </c>
      <c r="BF447" t="s">
        <v>1944</v>
      </c>
      <c r="BG447" t="s">
        <v>1945</v>
      </c>
      <c r="BH447">
        <v>0</v>
      </c>
      <c r="BI447">
        <v>1</v>
      </c>
      <c r="BJ447">
        <v>2</v>
      </c>
      <c r="BK447" t="s">
        <v>1946</v>
      </c>
      <c r="BL447">
        <v>8.8620000000000001</v>
      </c>
      <c r="BM447">
        <v>8.8620000000000001</v>
      </c>
      <c r="BN447" t="s">
        <v>425</v>
      </c>
      <c r="BO447" s="1">
        <v>0.63701388888888888</v>
      </c>
      <c r="BP447" s="3">
        <f t="shared" si="40"/>
        <v>1.0086417118006457</v>
      </c>
      <c r="BQ447" s="3">
        <f t="shared" si="41"/>
        <v>0.99746882233747391</v>
      </c>
    </row>
    <row r="448" spans="1:69" hidden="1" x14ac:dyDescent="0.35">
      <c r="A448">
        <v>446</v>
      </c>
      <c r="B448">
        <v>4164</v>
      </c>
      <c r="D448">
        <v>17</v>
      </c>
      <c r="E448">
        <v>1</v>
      </c>
      <c r="G448">
        <v>17112.900000000001</v>
      </c>
      <c r="I448" t="s">
        <v>62</v>
      </c>
      <c r="L448" t="s">
        <v>426</v>
      </c>
      <c r="M448">
        <v>10.19</v>
      </c>
      <c r="N448">
        <v>40.799999999999997</v>
      </c>
      <c r="O448">
        <v>9.6199999999999992</v>
      </c>
      <c r="P448" s="3">
        <f t="shared" si="36"/>
        <v>0.94406280667320897</v>
      </c>
      <c r="Q448">
        <v>33.299999999999997</v>
      </c>
      <c r="R448" s="3">
        <f t="shared" si="37"/>
        <v>0.81617647058823528</v>
      </c>
      <c r="S448">
        <v>320</v>
      </c>
      <c r="T448">
        <v>10.119999999999999</v>
      </c>
      <c r="U448">
        <v>40.049999999999997</v>
      </c>
      <c r="V448">
        <v>9.6530000000000005</v>
      </c>
      <c r="W448" s="3">
        <f t="shared" si="38"/>
        <v>0.95385375494071156</v>
      </c>
      <c r="X448">
        <v>32.76</v>
      </c>
      <c r="Y448" s="3">
        <f t="shared" si="39"/>
        <v>0.81797752808988766</v>
      </c>
      <c r="Z448">
        <v>316.2</v>
      </c>
      <c r="AA448">
        <v>78</v>
      </c>
      <c r="AB448">
        <v>25.2</v>
      </c>
      <c r="AC448" t="s">
        <v>64</v>
      </c>
      <c r="AE448" t="s">
        <v>65</v>
      </c>
      <c r="AF448" t="s">
        <v>66</v>
      </c>
      <c r="AG448" t="s">
        <v>427</v>
      </c>
      <c r="AH448" s="1">
        <v>0.54282407407407407</v>
      </c>
      <c r="AI448" t="s">
        <v>68</v>
      </c>
      <c r="AJ448" t="s">
        <v>69</v>
      </c>
      <c r="AO448">
        <v>8.1120000000000001</v>
      </c>
      <c r="AP448">
        <v>41.767000000000003</v>
      </c>
      <c r="AQ448">
        <v>6.4</v>
      </c>
      <c r="AR448">
        <v>2.0249999999999999</v>
      </c>
      <c r="AS448">
        <v>38.014000000000003</v>
      </c>
      <c r="AT448">
        <v>25.6</v>
      </c>
      <c r="AY448">
        <v>2.36</v>
      </c>
      <c r="AZ448" t="s">
        <v>428</v>
      </c>
      <c r="BB448" t="s">
        <v>428</v>
      </c>
      <c r="BD448" t="s">
        <v>68</v>
      </c>
      <c r="BE448" t="s">
        <v>1947</v>
      </c>
      <c r="BF448" t="s">
        <v>1948</v>
      </c>
      <c r="BG448" t="s">
        <v>1949</v>
      </c>
      <c r="BH448">
        <v>0</v>
      </c>
      <c r="BI448">
        <v>0</v>
      </c>
      <c r="BJ448">
        <v>1</v>
      </c>
      <c r="BK448" t="s">
        <v>1950</v>
      </c>
      <c r="BL448">
        <v>8.8620000000000001</v>
      </c>
      <c r="BM448">
        <v>8.8620000000000001</v>
      </c>
      <c r="BN448" t="s">
        <v>425</v>
      </c>
      <c r="BO448" s="1">
        <v>0.61506944444444445</v>
      </c>
      <c r="BP448" s="3">
        <f t="shared" si="40"/>
        <v>1.0103710772189034</v>
      </c>
      <c r="BQ448" s="3">
        <f t="shared" si="41"/>
        <v>1.0022067010831057</v>
      </c>
    </row>
    <row r="449" spans="1:69" hidden="1" x14ac:dyDescent="0.35">
      <c r="A449">
        <v>447</v>
      </c>
      <c r="B449">
        <v>4167</v>
      </c>
      <c r="D449">
        <v>17</v>
      </c>
      <c r="E449">
        <v>1</v>
      </c>
      <c r="G449">
        <v>17112.900000000001</v>
      </c>
      <c r="I449" t="s">
        <v>62</v>
      </c>
      <c r="L449" t="s">
        <v>426</v>
      </c>
      <c r="M449">
        <v>10.19</v>
      </c>
      <c r="N449">
        <v>40.799999999999997</v>
      </c>
      <c r="O449">
        <v>9.6199999999999992</v>
      </c>
      <c r="P449" s="3">
        <f t="shared" si="36"/>
        <v>0.94406280667320897</v>
      </c>
      <c r="Q449">
        <v>33.299999999999997</v>
      </c>
      <c r="R449" s="3">
        <f t="shared" si="37"/>
        <v>0.81617647058823528</v>
      </c>
      <c r="S449">
        <v>320</v>
      </c>
      <c r="T449">
        <v>10.14</v>
      </c>
      <c r="U449">
        <v>39.979999999999997</v>
      </c>
      <c r="V449">
        <v>9.6389999999999993</v>
      </c>
      <c r="W449" s="3">
        <f t="shared" si="38"/>
        <v>0.9505917159763313</v>
      </c>
      <c r="X449">
        <v>32.659999999999997</v>
      </c>
      <c r="Y449" s="3">
        <f t="shared" si="39"/>
        <v>0.81690845422711356</v>
      </c>
      <c r="Z449">
        <v>314.8</v>
      </c>
      <c r="AA449">
        <v>77.7</v>
      </c>
      <c r="AB449">
        <v>24.9</v>
      </c>
      <c r="AC449" t="s">
        <v>64</v>
      </c>
      <c r="AE449" t="s">
        <v>65</v>
      </c>
      <c r="AF449" t="s">
        <v>66</v>
      </c>
      <c r="AG449" t="s">
        <v>427</v>
      </c>
      <c r="AH449" s="1">
        <v>0.54979166666666668</v>
      </c>
      <c r="AI449" t="s">
        <v>68</v>
      </c>
      <c r="AJ449" t="s">
        <v>69</v>
      </c>
      <c r="AO449">
        <v>8.1069999999999993</v>
      </c>
      <c r="AP449">
        <v>41.692</v>
      </c>
      <c r="AQ449">
        <v>6.4</v>
      </c>
      <c r="AR449">
        <v>2.0299999999999998</v>
      </c>
      <c r="AS449">
        <v>37.939</v>
      </c>
      <c r="AT449">
        <v>25.6</v>
      </c>
      <c r="AY449">
        <v>2.36</v>
      </c>
      <c r="AZ449" t="s">
        <v>428</v>
      </c>
      <c r="BB449" t="s">
        <v>428</v>
      </c>
      <c r="BD449" t="s">
        <v>68</v>
      </c>
      <c r="BE449" t="s">
        <v>1951</v>
      </c>
      <c r="BF449" t="s">
        <v>1952</v>
      </c>
      <c r="BG449" t="s">
        <v>1953</v>
      </c>
      <c r="BH449">
        <v>0</v>
      </c>
      <c r="BI449">
        <v>0</v>
      </c>
      <c r="BJ449">
        <v>2</v>
      </c>
      <c r="BK449" t="s">
        <v>1954</v>
      </c>
      <c r="BL449">
        <v>8.8620000000000001</v>
      </c>
      <c r="BM449">
        <v>8.8620000000000001</v>
      </c>
      <c r="BN449" t="s">
        <v>425</v>
      </c>
      <c r="BO449" s="1">
        <v>0.6334953703703704</v>
      </c>
      <c r="BP449" s="3">
        <f t="shared" si="40"/>
        <v>1.0069157573595444</v>
      </c>
      <c r="BQ449" s="3">
        <f t="shared" si="41"/>
        <v>1.0008968448188058</v>
      </c>
    </row>
    <row r="450" spans="1:69" hidden="1" x14ac:dyDescent="0.35">
      <c r="A450">
        <v>448</v>
      </c>
      <c r="B450">
        <v>4167</v>
      </c>
      <c r="D450">
        <v>17</v>
      </c>
      <c r="E450">
        <v>1</v>
      </c>
      <c r="G450">
        <v>17102.8</v>
      </c>
      <c r="I450" t="s">
        <v>62</v>
      </c>
      <c r="L450" t="s">
        <v>1902</v>
      </c>
      <c r="M450">
        <v>10.19</v>
      </c>
      <c r="N450">
        <v>40.799999999999997</v>
      </c>
      <c r="O450">
        <v>9.6199999999999992</v>
      </c>
      <c r="P450" s="3">
        <f t="shared" si="36"/>
        <v>0.94406280667320897</v>
      </c>
      <c r="Q450">
        <v>33.299999999999997</v>
      </c>
      <c r="R450" s="3">
        <f t="shared" si="37"/>
        <v>0.81617647058823528</v>
      </c>
      <c r="S450">
        <v>320</v>
      </c>
      <c r="T450">
        <v>10.130000000000001</v>
      </c>
      <c r="U450">
        <v>39.97</v>
      </c>
      <c r="V450">
        <v>9.6329999999999991</v>
      </c>
      <c r="W450" s="3">
        <f t="shared" si="38"/>
        <v>0.95093780848963461</v>
      </c>
      <c r="X450">
        <v>32.47</v>
      </c>
      <c r="Y450" s="3">
        <f t="shared" si="39"/>
        <v>0.81235926945208903</v>
      </c>
      <c r="Z450">
        <v>312.8</v>
      </c>
      <c r="AA450">
        <v>77.2</v>
      </c>
      <c r="AB450">
        <v>25.1</v>
      </c>
      <c r="AC450" t="s">
        <v>64</v>
      </c>
      <c r="AE450" t="s">
        <v>65</v>
      </c>
      <c r="AF450" t="s">
        <v>66</v>
      </c>
      <c r="AG450" s="2">
        <v>44288</v>
      </c>
      <c r="AH450" s="1">
        <v>0.41849537037037038</v>
      </c>
      <c r="AI450" t="s">
        <v>68</v>
      </c>
      <c r="AJ450" t="s">
        <v>69</v>
      </c>
      <c r="AO450">
        <v>8.1120000000000001</v>
      </c>
      <c r="AP450">
        <v>40.941000000000003</v>
      </c>
      <c r="AQ450">
        <v>6.4</v>
      </c>
      <c r="AR450">
        <v>2.0449999999999999</v>
      </c>
      <c r="AS450">
        <v>37.113</v>
      </c>
      <c r="AT450">
        <v>25.6</v>
      </c>
      <c r="AY450">
        <v>2.36</v>
      </c>
      <c r="AZ450" s="2">
        <v>44410</v>
      </c>
      <c r="BB450" s="2">
        <v>44410</v>
      </c>
      <c r="BD450" t="s">
        <v>68</v>
      </c>
      <c r="BE450" t="s">
        <v>1955</v>
      </c>
      <c r="BF450" t="s">
        <v>1956</v>
      </c>
      <c r="BG450" t="s">
        <v>1957</v>
      </c>
      <c r="BH450">
        <v>0</v>
      </c>
      <c r="BI450">
        <v>1</v>
      </c>
      <c r="BJ450">
        <v>2</v>
      </c>
      <c r="BK450" t="s">
        <v>1958</v>
      </c>
      <c r="BL450">
        <v>8.8620000000000001</v>
      </c>
      <c r="BM450">
        <v>8.8620000000000001</v>
      </c>
      <c r="BN450" t="s">
        <v>425</v>
      </c>
      <c r="BO450" s="1">
        <v>0.6334953703703704</v>
      </c>
      <c r="BP450" s="3">
        <f t="shared" si="40"/>
        <v>1.0072823563939062</v>
      </c>
      <c r="BQ450" s="3">
        <f t="shared" si="41"/>
        <v>0.99532306887823518</v>
      </c>
    </row>
    <row r="451" spans="1:69" hidden="1" x14ac:dyDescent="0.35">
      <c r="A451">
        <v>449</v>
      </c>
      <c r="B451">
        <v>4172</v>
      </c>
      <c r="D451">
        <v>17</v>
      </c>
      <c r="E451">
        <v>1</v>
      </c>
      <c r="G451">
        <v>17112.900000000001</v>
      </c>
      <c r="I451" t="s">
        <v>62</v>
      </c>
      <c r="L451" t="s">
        <v>426</v>
      </c>
      <c r="M451">
        <v>10.19</v>
      </c>
      <c r="N451">
        <v>40.799999999999997</v>
      </c>
      <c r="O451">
        <v>9.6199999999999992</v>
      </c>
      <c r="P451" s="3">
        <f t="shared" ref="P451:P514" si="42">O451/M451</f>
        <v>0.94406280667320897</v>
      </c>
      <c r="Q451">
        <v>33.299999999999997</v>
      </c>
      <c r="R451" s="3">
        <f t="shared" ref="R451:R514" si="43">Q451/N451</f>
        <v>0.81617647058823528</v>
      </c>
      <c r="S451">
        <v>320</v>
      </c>
      <c r="T451">
        <v>10.11</v>
      </c>
      <c r="U451">
        <v>40.15</v>
      </c>
      <c r="V451">
        <v>9.6620000000000008</v>
      </c>
      <c r="W451" s="3">
        <f t="shared" ref="W451:W514" si="44">V451/T451</f>
        <v>0.95568743818001989</v>
      </c>
      <c r="X451">
        <v>32.89</v>
      </c>
      <c r="Y451" s="3">
        <f t="shared" ref="Y451:Y514" si="45">X451/U451</f>
        <v>0.8191780821917809</v>
      </c>
      <c r="Z451">
        <v>317.7</v>
      </c>
      <c r="AA451">
        <v>78.3</v>
      </c>
      <c r="AB451">
        <v>24.9</v>
      </c>
      <c r="AC451" t="s">
        <v>64</v>
      </c>
      <c r="AE451" t="s">
        <v>65</v>
      </c>
      <c r="AF451" t="s">
        <v>66</v>
      </c>
      <c r="AG451" t="s">
        <v>427</v>
      </c>
      <c r="AH451" s="1">
        <v>0.55269675925925921</v>
      </c>
      <c r="AI451" t="s">
        <v>68</v>
      </c>
      <c r="AJ451" t="s">
        <v>69</v>
      </c>
      <c r="AO451">
        <v>8.1120000000000001</v>
      </c>
      <c r="AP451">
        <v>41.804000000000002</v>
      </c>
      <c r="AQ451">
        <v>6.4</v>
      </c>
      <c r="AR451">
        <v>2.0249999999999999</v>
      </c>
      <c r="AS451">
        <v>38.51</v>
      </c>
      <c r="AT451">
        <v>25.6</v>
      </c>
      <c r="AY451">
        <v>2.36</v>
      </c>
      <c r="AZ451" t="s">
        <v>428</v>
      </c>
      <c r="BB451" t="s">
        <v>428</v>
      </c>
      <c r="BD451" t="s">
        <v>68</v>
      </c>
      <c r="BE451" t="s">
        <v>1959</v>
      </c>
      <c r="BF451" t="s">
        <v>1960</v>
      </c>
      <c r="BG451" t="s">
        <v>1961</v>
      </c>
      <c r="BH451">
        <v>0</v>
      </c>
      <c r="BI451">
        <v>0</v>
      </c>
      <c r="BJ451">
        <v>2</v>
      </c>
      <c r="BK451" t="s">
        <v>1962</v>
      </c>
      <c r="BL451">
        <v>8.8620000000000001</v>
      </c>
      <c r="BM451">
        <v>8.8620000000000001</v>
      </c>
      <c r="BN451" t="s">
        <v>425</v>
      </c>
      <c r="BO451" s="1">
        <v>0.64868055555555559</v>
      </c>
      <c r="BP451" s="3">
        <f t="shared" ref="BP451:BP514" si="46">W451/P451</f>
        <v>1.0123134090493142</v>
      </c>
      <c r="BQ451" s="3">
        <f t="shared" ref="BQ451:BQ514" si="47">Y451/R451</f>
        <v>1.0036776502529929</v>
      </c>
    </row>
    <row r="452" spans="1:69" hidden="1" x14ac:dyDescent="0.35">
      <c r="A452">
        <v>450</v>
      </c>
      <c r="B452">
        <v>4172</v>
      </c>
      <c r="D452">
        <v>17</v>
      </c>
      <c r="E452">
        <v>1</v>
      </c>
      <c r="G452">
        <v>17102.8</v>
      </c>
      <c r="I452" t="s">
        <v>62</v>
      </c>
      <c r="L452" t="s">
        <v>1902</v>
      </c>
      <c r="M452">
        <v>10.19</v>
      </c>
      <c r="N452">
        <v>40.799999999999997</v>
      </c>
      <c r="O452">
        <v>9.6199999999999992</v>
      </c>
      <c r="P452" s="3">
        <f t="shared" si="42"/>
        <v>0.94406280667320897</v>
      </c>
      <c r="Q452">
        <v>33.299999999999997</v>
      </c>
      <c r="R452" s="3">
        <f t="shared" si="43"/>
        <v>0.81617647058823528</v>
      </c>
      <c r="S452">
        <v>320</v>
      </c>
      <c r="T452">
        <v>10.11</v>
      </c>
      <c r="U452">
        <v>40.119999999999997</v>
      </c>
      <c r="V452">
        <v>9.6519999999999992</v>
      </c>
      <c r="W452" s="3">
        <f t="shared" si="44"/>
        <v>0.95469831849653808</v>
      </c>
      <c r="X452">
        <v>32.76</v>
      </c>
      <c r="Y452" s="3">
        <f t="shared" si="45"/>
        <v>0.8165503489531406</v>
      </c>
      <c r="Z452">
        <v>316.2</v>
      </c>
      <c r="AA452">
        <v>77.900000000000006</v>
      </c>
      <c r="AB452">
        <v>25.1</v>
      </c>
      <c r="AC452" t="s">
        <v>64</v>
      </c>
      <c r="AE452" t="s">
        <v>65</v>
      </c>
      <c r="AF452" t="s">
        <v>66</v>
      </c>
      <c r="AG452" s="2">
        <v>44288</v>
      </c>
      <c r="AH452" s="1">
        <v>0.41733796296296294</v>
      </c>
      <c r="AI452" t="s">
        <v>68</v>
      </c>
      <c r="AJ452" t="s">
        <v>69</v>
      </c>
      <c r="AO452">
        <v>8.1120000000000001</v>
      </c>
      <c r="AP452">
        <v>41.204000000000001</v>
      </c>
      <c r="AQ452">
        <v>6.4</v>
      </c>
      <c r="AR452">
        <v>2.0449999999999999</v>
      </c>
      <c r="AS452">
        <v>37.375999999999998</v>
      </c>
      <c r="AT452">
        <v>25.6</v>
      </c>
      <c r="AY452">
        <v>2.36</v>
      </c>
      <c r="AZ452" s="2">
        <v>44410</v>
      </c>
      <c r="BB452" s="2">
        <v>44410</v>
      </c>
      <c r="BD452" t="s">
        <v>68</v>
      </c>
      <c r="BE452" t="s">
        <v>1963</v>
      </c>
      <c r="BF452" t="s">
        <v>1964</v>
      </c>
      <c r="BG452" t="s">
        <v>1965</v>
      </c>
      <c r="BH452">
        <v>0</v>
      </c>
      <c r="BI452">
        <v>1</v>
      </c>
      <c r="BJ452">
        <v>2</v>
      </c>
      <c r="BK452" t="s">
        <v>1966</v>
      </c>
      <c r="BL452">
        <v>8.8620000000000001</v>
      </c>
      <c r="BM452">
        <v>8.8620000000000001</v>
      </c>
      <c r="BN452" t="s">
        <v>425</v>
      </c>
      <c r="BO452" s="1">
        <v>0.64868055555555559</v>
      </c>
      <c r="BP452" s="3">
        <f t="shared" si="46"/>
        <v>1.0112656824822999</v>
      </c>
      <c r="BQ452" s="3">
        <f t="shared" si="47"/>
        <v>1.000458085203848</v>
      </c>
    </row>
    <row r="453" spans="1:69" hidden="1" x14ac:dyDescent="0.35">
      <c r="A453">
        <v>451</v>
      </c>
      <c r="B453">
        <v>4165</v>
      </c>
      <c r="D453">
        <v>17</v>
      </c>
      <c r="E453">
        <v>1</v>
      </c>
      <c r="G453">
        <v>17112.900000000001</v>
      </c>
      <c r="I453" t="s">
        <v>62</v>
      </c>
      <c r="L453" t="s">
        <v>426</v>
      </c>
      <c r="M453">
        <v>10.19</v>
      </c>
      <c r="N453">
        <v>40.799999999999997</v>
      </c>
      <c r="O453">
        <v>9.6199999999999992</v>
      </c>
      <c r="P453" s="3">
        <f t="shared" si="42"/>
        <v>0.94406280667320897</v>
      </c>
      <c r="Q453">
        <v>33.299999999999997</v>
      </c>
      <c r="R453" s="3">
        <f t="shared" si="43"/>
        <v>0.81617647058823528</v>
      </c>
      <c r="S453">
        <v>320</v>
      </c>
      <c r="T453">
        <v>10.14</v>
      </c>
      <c r="U453">
        <v>40.11</v>
      </c>
      <c r="V453">
        <v>9.6440000000000001</v>
      </c>
      <c r="W453" s="3">
        <f t="shared" si="44"/>
        <v>0.95108481262327416</v>
      </c>
      <c r="X453">
        <v>32.82</v>
      </c>
      <c r="Y453" s="3">
        <f t="shared" si="45"/>
        <v>0.81824981301421096</v>
      </c>
      <c r="Z453">
        <v>316.5</v>
      </c>
      <c r="AA453">
        <v>77.8</v>
      </c>
      <c r="AB453">
        <v>24.8</v>
      </c>
      <c r="AC453" t="s">
        <v>64</v>
      </c>
      <c r="AE453" t="s">
        <v>65</v>
      </c>
      <c r="AF453" t="s">
        <v>66</v>
      </c>
      <c r="AG453" t="s">
        <v>427</v>
      </c>
      <c r="AH453" s="1">
        <v>0.54601851851851857</v>
      </c>
      <c r="AI453" t="s">
        <v>68</v>
      </c>
      <c r="AJ453" t="s">
        <v>69</v>
      </c>
      <c r="AO453">
        <v>8.1120000000000001</v>
      </c>
      <c r="AP453">
        <v>41.878999999999998</v>
      </c>
      <c r="AQ453">
        <v>6.4</v>
      </c>
      <c r="AR453">
        <v>2.0299999999999998</v>
      </c>
      <c r="AS453">
        <v>38.088999999999999</v>
      </c>
      <c r="AT453">
        <v>25.6</v>
      </c>
      <c r="AY453">
        <v>2.36</v>
      </c>
      <c r="AZ453" t="s">
        <v>428</v>
      </c>
      <c r="BB453" t="s">
        <v>428</v>
      </c>
      <c r="BD453" t="s">
        <v>68</v>
      </c>
      <c r="BE453" t="s">
        <v>1967</v>
      </c>
      <c r="BF453" t="s">
        <v>1968</v>
      </c>
      <c r="BG453" t="s">
        <v>1969</v>
      </c>
      <c r="BH453">
        <v>0</v>
      </c>
      <c r="BI453">
        <v>0</v>
      </c>
      <c r="BJ453">
        <v>2</v>
      </c>
      <c r="BK453" t="s">
        <v>1970</v>
      </c>
      <c r="BL453">
        <v>8.8620000000000001</v>
      </c>
      <c r="BM453">
        <v>8.8620000000000001</v>
      </c>
      <c r="BN453" t="s">
        <v>425</v>
      </c>
      <c r="BO453" s="1">
        <v>0.62081018518518516</v>
      </c>
      <c r="BP453" s="3">
        <f t="shared" si="46"/>
        <v>1.0074380707516803</v>
      </c>
      <c r="BQ453" s="3">
        <f t="shared" si="47"/>
        <v>1.0025403114408351</v>
      </c>
    </row>
    <row r="454" spans="1:69" hidden="1" x14ac:dyDescent="0.35">
      <c r="A454">
        <v>452</v>
      </c>
      <c r="B454">
        <v>4165</v>
      </c>
      <c r="D454">
        <v>17</v>
      </c>
      <c r="E454">
        <v>1</v>
      </c>
      <c r="G454">
        <v>17102.8</v>
      </c>
      <c r="I454" t="s">
        <v>62</v>
      </c>
      <c r="L454" t="s">
        <v>1902</v>
      </c>
      <c r="M454">
        <v>10.19</v>
      </c>
      <c r="N454">
        <v>40.799999999999997</v>
      </c>
      <c r="O454">
        <v>9.6199999999999992</v>
      </c>
      <c r="P454" s="3">
        <f t="shared" si="42"/>
        <v>0.94406280667320897</v>
      </c>
      <c r="Q454">
        <v>33.299999999999997</v>
      </c>
      <c r="R454" s="3">
        <f t="shared" si="43"/>
        <v>0.81617647058823528</v>
      </c>
      <c r="S454">
        <v>320</v>
      </c>
      <c r="T454">
        <v>10.14</v>
      </c>
      <c r="U454">
        <v>40.1</v>
      </c>
      <c r="V454">
        <v>9.6419999999999995</v>
      </c>
      <c r="W454" s="3">
        <f t="shared" si="44"/>
        <v>0.95088757396449697</v>
      </c>
      <c r="X454">
        <v>32.69</v>
      </c>
      <c r="Y454" s="3">
        <f t="shared" si="45"/>
        <v>0.81521197007481283</v>
      </c>
      <c r="Z454">
        <v>315.2</v>
      </c>
      <c r="AA454">
        <v>77.5</v>
      </c>
      <c r="AB454">
        <v>25.1</v>
      </c>
      <c r="AC454" t="s">
        <v>64</v>
      </c>
      <c r="AE454" t="s">
        <v>65</v>
      </c>
      <c r="AF454" t="s">
        <v>66</v>
      </c>
      <c r="AG454" s="2">
        <v>44288</v>
      </c>
      <c r="AH454" s="1">
        <v>0.41793981481481479</v>
      </c>
      <c r="AI454" t="s">
        <v>68</v>
      </c>
      <c r="AJ454" t="s">
        <v>69</v>
      </c>
      <c r="AO454">
        <v>8.1120000000000001</v>
      </c>
      <c r="AP454">
        <v>41.165999999999997</v>
      </c>
      <c r="AQ454">
        <v>6.4</v>
      </c>
      <c r="AR454">
        <v>2.0449999999999999</v>
      </c>
      <c r="AS454">
        <v>37.338000000000001</v>
      </c>
      <c r="AT454">
        <v>25.6</v>
      </c>
      <c r="AY454">
        <v>2.36</v>
      </c>
      <c r="AZ454" s="2">
        <v>44410</v>
      </c>
      <c r="BB454" s="2">
        <v>44410</v>
      </c>
      <c r="BD454" t="s">
        <v>68</v>
      </c>
      <c r="BE454" t="s">
        <v>1971</v>
      </c>
      <c r="BF454" t="s">
        <v>1972</v>
      </c>
      <c r="BG454" t="s">
        <v>1973</v>
      </c>
      <c r="BH454">
        <v>0</v>
      </c>
      <c r="BI454">
        <v>1</v>
      </c>
      <c r="BJ454">
        <v>2</v>
      </c>
      <c r="BK454" t="s">
        <v>1974</v>
      </c>
      <c r="BL454">
        <v>8.8620000000000001</v>
      </c>
      <c r="BM454">
        <v>8.8620000000000001</v>
      </c>
      <c r="BN454" t="s">
        <v>425</v>
      </c>
      <c r="BO454" s="1">
        <v>0.62081018518518516</v>
      </c>
      <c r="BP454" s="3">
        <f t="shared" si="46"/>
        <v>1.0072291453948259</v>
      </c>
      <c r="BQ454" s="3">
        <f t="shared" si="47"/>
        <v>0.99881826964121212</v>
      </c>
    </row>
    <row r="455" spans="1:69" hidden="1" x14ac:dyDescent="0.35">
      <c r="A455">
        <v>453</v>
      </c>
      <c r="B455">
        <v>3855</v>
      </c>
      <c r="D455">
        <v>17</v>
      </c>
      <c r="E455">
        <v>1</v>
      </c>
      <c r="G455">
        <v>17123</v>
      </c>
      <c r="I455" t="s">
        <v>62</v>
      </c>
      <c r="L455" t="s">
        <v>1792</v>
      </c>
      <c r="M455">
        <v>10.19</v>
      </c>
      <c r="N455">
        <v>40.799999999999997</v>
      </c>
      <c r="O455">
        <v>9.6199999999999992</v>
      </c>
      <c r="P455" s="3">
        <f t="shared" si="42"/>
        <v>0.94406280667320897</v>
      </c>
      <c r="Q455">
        <v>33.299999999999997</v>
      </c>
      <c r="R455" s="3">
        <f t="shared" si="43"/>
        <v>0.81617647058823528</v>
      </c>
      <c r="S455">
        <v>320</v>
      </c>
      <c r="T455">
        <v>10.08</v>
      </c>
      <c r="U455">
        <v>40.340000000000003</v>
      </c>
      <c r="V455">
        <v>9.6140000000000008</v>
      </c>
      <c r="W455" s="3">
        <f t="shared" si="44"/>
        <v>0.95376984126984132</v>
      </c>
      <c r="X455">
        <v>33</v>
      </c>
      <c r="Y455" s="3">
        <f t="shared" si="45"/>
        <v>0.81804660386712935</v>
      </c>
      <c r="Z455">
        <v>317.3</v>
      </c>
      <c r="AA455">
        <v>78.099999999999994</v>
      </c>
      <c r="AB455">
        <v>24.9</v>
      </c>
      <c r="AC455" t="s">
        <v>64</v>
      </c>
      <c r="AE455" t="s">
        <v>65</v>
      </c>
      <c r="AF455" t="s">
        <v>66</v>
      </c>
      <c r="AG455" t="s">
        <v>705</v>
      </c>
      <c r="AH455" s="1">
        <v>0.47125</v>
      </c>
      <c r="AI455" t="s">
        <v>68</v>
      </c>
      <c r="AJ455" t="s">
        <v>69</v>
      </c>
      <c r="AO455">
        <v>8.0969999999999995</v>
      </c>
      <c r="AP455">
        <v>41.991999999999997</v>
      </c>
      <c r="AQ455">
        <v>6.4</v>
      </c>
      <c r="AR455">
        <v>2.0249999999999999</v>
      </c>
      <c r="AS455">
        <v>38.301000000000002</v>
      </c>
      <c r="AT455">
        <v>19.2</v>
      </c>
      <c r="AY455">
        <v>2.36</v>
      </c>
      <c r="AZ455" t="s">
        <v>428</v>
      </c>
      <c r="BB455" t="s">
        <v>428</v>
      </c>
      <c r="BD455" t="s">
        <v>68</v>
      </c>
      <c r="BE455" t="s">
        <v>1975</v>
      </c>
      <c r="BF455" t="s">
        <v>1976</v>
      </c>
      <c r="BG455" t="s">
        <v>1977</v>
      </c>
      <c r="BH455">
        <v>0</v>
      </c>
      <c r="BI455">
        <v>0</v>
      </c>
      <c r="BJ455">
        <v>1</v>
      </c>
      <c r="BK455" t="s">
        <v>1978</v>
      </c>
      <c r="BL455">
        <v>8.8620000000000001</v>
      </c>
      <c r="BM455">
        <v>9.2479999999999993</v>
      </c>
      <c r="BN455" t="s">
        <v>1791</v>
      </c>
      <c r="BO455" s="1">
        <v>0.35822916666666665</v>
      </c>
      <c r="BP455" s="3">
        <f t="shared" si="46"/>
        <v>1.0102821915321916</v>
      </c>
      <c r="BQ455" s="3">
        <f t="shared" si="47"/>
        <v>1.0022913344678341</v>
      </c>
    </row>
    <row r="456" spans="1:69" hidden="1" x14ac:dyDescent="0.35">
      <c r="A456">
        <v>454</v>
      </c>
      <c r="B456">
        <v>4058</v>
      </c>
      <c r="D456">
        <v>17</v>
      </c>
      <c r="E456">
        <v>1</v>
      </c>
      <c r="G456">
        <v>17123</v>
      </c>
      <c r="I456" t="s">
        <v>62</v>
      </c>
      <c r="L456" t="s">
        <v>1979</v>
      </c>
      <c r="M456">
        <v>10.19</v>
      </c>
      <c r="N456">
        <v>40.799999999999997</v>
      </c>
      <c r="O456">
        <v>9.6199999999999992</v>
      </c>
      <c r="P456" s="3">
        <f t="shared" si="42"/>
        <v>0.94406280667320897</v>
      </c>
      <c r="Q456">
        <v>33.299999999999997</v>
      </c>
      <c r="R456" s="3">
        <f t="shared" si="43"/>
        <v>0.81617647058823528</v>
      </c>
      <c r="S456">
        <v>320</v>
      </c>
      <c r="T456">
        <v>10.1</v>
      </c>
      <c r="U456">
        <v>40.18</v>
      </c>
      <c r="V456">
        <v>9.6430000000000007</v>
      </c>
      <c r="W456" s="3">
        <f t="shared" si="44"/>
        <v>0.95475247524752482</v>
      </c>
      <c r="X456">
        <v>32.950000000000003</v>
      </c>
      <c r="Y456" s="3">
        <f t="shared" si="45"/>
        <v>0.82005973120955711</v>
      </c>
      <c r="Z456">
        <v>317.7</v>
      </c>
      <c r="AA456">
        <v>78.3</v>
      </c>
      <c r="AB456">
        <v>24.9</v>
      </c>
      <c r="AC456" t="s">
        <v>64</v>
      </c>
      <c r="AE456" t="s">
        <v>65</v>
      </c>
      <c r="AF456" t="s">
        <v>66</v>
      </c>
      <c r="AG456" t="s">
        <v>705</v>
      </c>
      <c r="AH456" s="1">
        <v>0.49493055555555554</v>
      </c>
      <c r="AI456" t="s">
        <v>68</v>
      </c>
      <c r="AJ456" t="s">
        <v>69</v>
      </c>
      <c r="AO456">
        <v>8.0920000000000005</v>
      </c>
      <c r="AP456">
        <v>41.692</v>
      </c>
      <c r="AQ456">
        <v>6.4</v>
      </c>
      <c r="AR456">
        <v>2.02</v>
      </c>
      <c r="AS456">
        <v>37.939</v>
      </c>
      <c r="AT456">
        <v>25.6</v>
      </c>
      <c r="AY456">
        <v>2.36</v>
      </c>
      <c r="AZ456" t="s">
        <v>428</v>
      </c>
      <c r="BB456" t="s">
        <v>428</v>
      </c>
      <c r="BD456" t="s">
        <v>68</v>
      </c>
      <c r="BE456" t="s">
        <v>1980</v>
      </c>
      <c r="BF456" t="s">
        <v>1981</v>
      </c>
      <c r="BG456" t="s">
        <v>1982</v>
      </c>
      <c r="BH456">
        <v>0</v>
      </c>
      <c r="BI456">
        <v>0</v>
      </c>
      <c r="BJ456">
        <v>1</v>
      </c>
      <c r="BK456" t="s">
        <v>1983</v>
      </c>
      <c r="BL456">
        <v>8.8620000000000001</v>
      </c>
      <c r="BM456">
        <v>8.8620000000000001</v>
      </c>
      <c r="BN456" t="s">
        <v>1846</v>
      </c>
      <c r="BO456" s="1">
        <v>0.63842592592592595</v>
      </c>
      <c r="BP456" s="3">
        <f t="shared" si="46"/>
        <v>1.0113230481052264</v>
      </c>
      <c r="BQ456" s="3">
        <f t="shared" si="47"/>
        <v>1.0047578688693672</v>
      </c>
    </row>
    <row r="457" spans="1:69" hidden="1" x14ac:dyDescent="0.35">
      <c r="A457">
        <v>455</v>
      </c>
      <c r="B457">
        <v>4063</v>
      </c>
      <c r="D457">
        <v>17</v>
      </c>
      <c r="E457">
        <v>1</v>
      </c>
      <c r="G457">
        <v>17123</v>
      </c>
      <c r="I457" t="s">
        <v>62</v>
      </c>
      <c r="L457" t="s">
        <v>1979</v>
      </c>
      <c r="M457">
        <v>10.19</v>
      </c>
      <c r="N457">
        <v>40.799999999999997</v>
      </c>
      <c r="O457">
        <v>9.6199999999999992</v>
      </c>
      <c r="P457" s="3">
        <f t="shared" si="42"/>
        <v>0.94406280667320897</v>
      </c>
      <c r="Q457">
        <v>33.299999999999997</v>
      </c>
      <c r="R457" s="3">
        <f t="shared" si="43"/>
        <v>0.81617647058823528</v>
      </c>
      <c r="S457">
        <v>320</v>
      </c>
      <c r="T457">
        <v>10.119999999999999</v>
      </c>
      <c r="U457">
        <v>40.15</v>
      </c>
      <c r="V457">
        <v>9.6489999999999991</v>
      </c>
      <c r="W457" s="3">
        <f t="shared" si="44"/>
        <v>0.95345849802371541</v>
      </c>
      <c r="X457">
        <v>32.9</v>
      </c>
      <c r="Y457" s="3">
        <f t="shared" si="45"/>
        <v>0.81942714819427143</v>
      </c>
      <c r="Z457">
        <v>317.5</v>
      </c>
      <c r="AA457">
        <v>78.2</v>
      </c>
      <c r="AB457">
        <v>24.8</v>
      </c>
      <c r="AC457" t="s">
        <v>64</v>
      </c>
      <c r="AE457" t="s">
        <v>65</v>
      </c>
      <c r="AF457" t="s">
        <v>66</v>
      </c>
      <c r="AG457" t="s">
        <v>705</v>
      </c>
      <c r="AH457" s="1">
        <v>0.50435185185185183</v>
      </c>
      <c r="AI457" t="s">
        <v>68</v>
      </c>
      <c r="AJ457" t="s">
        <v>69</v>
      </c>
      <c r="AO457">
        <v>8.09</v>
      </c>
      <c r="AP457">
        <v>41.192</v>
      </c>
      <c r="AQ457">
        <v>6.4</v>
      </c>
      <c r="AR457">
        <v>2.02</v>
      </c>
      <c r="AS457">
        <v>37.975999999999999</v>
      </c>
      <c r="AT457">
        <v>25.6</v>
      </c>
      <c r="AY457">
        <v>2.36</v>
      </c>
      <c r="AZ457" t="s">
        <v>428</v>
      </c>
      <c r="BB457" t="s">
        <v>428</v>
      </c>
      <c r="BD457" t="s">
        <v>68</v>
      </c>
      <c r="BE457" t="s">
        <v>1984</v>
      </c>
      <c r="BF457" t="s">
        <v>1985</v>
      </c>
      <c r="BG457" t="s">
        <v>1986</v>
      </c>
      <c r="BH457">
        <v>0</v>
      </c>
      <c r="BI457">
        <v>0</v>
      </c>
      <c r="BJ457">
        <v>1</v>
      </c>
      <c r="BK457" t="s">
        <v>1987</v>
      </c>
      <c r="BL457">
        <v>8.8620000000000001</v>
      </c>
      <c r="BM457">
        <v>8.8620000000000001</v>
      </c>
      <c r="BN457" t="s">
        <v>1846</v>
      </c>
      <c r="BO457" s="1">
        <v>0.65443287037037035</v>
      </c>
      <c r="BP457" s="3">
        <f t="shared" si="46"/>
        <v>1.0099524007132703</v>
      </c>
      <c r="BQ457" s="3">
        <f t="shared" si="47"/>
        <v>1.0039828122019903</v>
      </c>
    </row>
    <row r="458" spans="1:69" hidden="1" x14ac:dyDescent="0.35">
      <c r="A458">
        <v>456</v>
      </c>
      <c r="B458">
        <v>10329</v>
      </c>
      <c r="D458">
        <v>34</v>
      </c>
      <c r="E458">
        <v>5</v>
      </c>
      <c r="G458">
        <v>16750</v>
      </c>
      <c r="I458" t="s">
        <v>62</v>
      </c>
      <c r="L458" t="s">
        <v>1988</v>
      </c>
      <c r="M458">
        <v>8.25</v>
      </c>
      <c r="N458">
        <v>37.700000000000003</v>
      </c>
      <c r="O458">
        <v>7.96</v>
      </c>
      <c r="P458" s="3">
        <f t="shared" si="42"/>
        <v>0.96484848484848484</v>
      </c>
      <c r="Q458">
        <v>30.8</v>
      </c>
      <c r="R458" s="3">
        <f t="shared" si="43"/>
        <v>0.81697612732095481</v>
      </c>
      <c r="S458">
        <v>245</v>
      </c>
      <c r="T458">
        <v>8.8859999999999992</v>
      </c>
      <c r="U458">
        <v>37.67</v>
      </c>
      <c r="V458">
        <v>8.4079999999999995</v>
      </c>
      <c r="W458" s="3">
        <f t="shared" si="44"/>
        <v>0.946207517443169</v>
      </c>
      <c r="X458">
        <v>30.38</v>
      </c>
      <c r="Y458" s="3">
        <f t="shared" si="45"/>
        <v>0.80647730289354913</v>
      </c>
      <c r="Z458">
        <v>255.5</v>
      </c>
      <c r="AA458">
        <v>76.3</v>
      </c>
      <c r="AB458">
        <v>25</v>
      </c>
      <c r="AC458" t="s">
        <v>64</v>
      </c>
      <c r="AE458" t="s">
        <v>65</v>
      </c>
      <c r="AF458" t="s">
        <v>66</v>
      </c>
      <c r="AG458" t="s">
        <v>509</v>
      </c>
      <c r="AH458" s="1">
        <v>0.42474537037037036</v>
      </c>
      <c r="AI458" t="s">
        <v>68</v>
      </c>
      <c r="AJ458" t="s">
        <v>69</v>
      </c>
      <c r="AO458">
        <v>7.1440000000000001</v>
      </c>
      <c r="AP458">
        <v>39.215000000000003</v>
      </c>
      <c r="AQ458">
        <v>51.2</v>
      </c>
      <c r="AY458">
        <v>2.36</v>
      </c>
      <c r="AZ458" t="s">
        <v>184</v>
      </c>
      <c r="BB458" t="s">
        <v>184</v>
      </c>
      <c r="BD458" t="s">
        <v>68</v>
      </c>
      <c r="BE458" t="s">
        <v>1989</v>
      </c>
      <c r="BG458" t="s">
        <v>1990</v>
      </c>
      <c r="BH458">
        <v>0</v>
      </c>
      <c r="BI458">
        <v>0</v>
      </c>
      <c r="BJ458">
        <v>1</v>
      </c>
      <c r="BK458" t="s">
        <v>1991</v>
      </c>
      <c r="BL458">
        <v>8.8620000000000001</v>
      </c>
      <c r="BN458" t="s">
        <v>1992</v>
      </c>
      <c r="BO458" s="1">
        <v>0.51701388888888888</v>
      </c>
      <c r="BP458" s="3">
        <f t="shared" si="46"/>
        <v>0.98067990187263121</v>
      </c>
      <c r="BQ458" s="3">
        <f t="shared" si="47"/>
        <v>0.98714916620411708</v>
      </c>
    </row>
    <row r="459" spans="1:69" hidden="1" x14ac:dyDescent="0.35">
      <c r="A459">
        <v>457</v>
      </c>
      <c r="B459">
        <v>10319</v>
      </c>
      <c r="D459">
        <v>34</v>
      </c>
      <c r="E459">
        <v>5</v>
      </c>
      <c r="G459">
        <v>16750</v>
      </c>
      <c r="I459" t="s">
        <v>62</v>
      </c>
      <c r="L459" t="s">
        <v>1988</v>
      </c>
      <c r="M459">
        <v>8.25</v>
      </c>
      <c r="N459">
        <v>37.700000000000003</v>
      </c>
      <c r="O459">
        <v>7.96</v>
      </c>
      <c r="P459" s="3">
        <f t="shared" si="42"/>
        <v>0.96484848484848484</v>
      </c>
      <c r="Q459">
        <v>30.8</v>
      </c>
      <c r="R459" s="3">
        <f t="shared" si="43"/>
        <v>0.81697612732095481</v>
      </c>
      <c r="S459">
        <v>245</v>
      </c>
      <c r="T459">
        <v>8.7949999999999999</v>
      </c>
      <c r="U459">
        <v>37.659999999999997</v>
      </c>
      <c r="V459">
        <v>8.3699999999999992</v>
      </c>
      <c r="W459" s="3">
        <f t="shared" si="44"/>
        <v>0.95167708925525862</v>
      </c>
      <c r="X459">
        <v>30.36</v>
      </c>
      <c r="Y459" s="3">
        <f t="shared" si="45"/>
        <v>0.80616038236856091</v>
      </c>
      <c r="Z459">
        <v>254.1</v>
      </c>
      <c r="AA459">
        <v>76.7</v>
      </c>
      <c r="AB459">
        <v>25.2</v>
      </c>
      <c r="AC459" t="s">
        <v>64</v>
      </c>
      <c r="AE459" t="s">
        <v>65</v>
      </c>
      <c r="AF459" t="s">
        <v>66</v>
      </c>
      <c r="AG459" t="s">
        <v>509</v>
      </c>
      <c r="AH459" s="1">
        <v>0.50820601851851854</v>
      </c>
      <c r="AI459" t="s">
        <v>68</v>
      </c>
      <c r="AJ459" t="s">
        <v>69</v>
      </c>
      <c r="AO459">
        <v>7.1390000000000002</v>
      </c>
      <c r="AP459">
        <v>38.764000000000003</v>
      </c>
      <c r="AQ459">
        <v>51.2</v>
      </c>
      <c r="AR459">
        <v>1.7450000000000001</v>
      </c>
      <c r="AS459">
        <v>34.786000000000001</v>
      </c>
      <c r="AT459">
        <v>204.6</v>
      </c>
      <c r="AY459">
        <v>2.36</v>
      </c>
      <c r="AZ459" t="s">
        <v>184</v>
      </c>
      <c r="BB459" t="s">
        <v>184</v>
      </c>
      <c r="BD459" t="s">
        <v>68</v>
      </c>
      <c r="BE459" t="s">
        <v>1993</v>
      </c>
      <c r="BF459" t="s">
        <v>1994</v>
      </c>
      <c r="BG459" t="s">
        <v>1995</v>
      </c>
      <c r="BH459">
        <v>0</v>
      </c>
      <c r="BI459">
        <v>0</v>
      </c>
      <c r="BJ459">
        <v>1</v>
      </c>
      <c r="BK459" t="s">
        <v>1996</v>
      </c>
      <c r="BL459">
        <v>8.8620000000000001</v>
      </c>
      <c r="BN459" t="s">
        <v>1992</v>
      </c>
      <c r="BO459" s="1">
        <v>0.50714120370370375</v>
      </c>
      <c r="BP459" s="3">
        <f t="shared" si="46"/>
        <v>0.98634874200450795</v>
      </c>
      <c r="BQ459" s="3">
        <f t="shared" si="47"/>
        <v>0.9867612472498295</v>
      </c>
    </row>
    <row r="460" spans="1:69" hidden="1" x14ac:dyDescent="0.35">
      <c r="A460">
        <v>458</v>
      </c>
      <c r="B460">
        <v>2989</v>
      </c>
      <c r="D460">
        <v>34</v>
      </c>
      <c r="E460">
        <v>5</v>
      </c>
      <c r="G460">
        <v>16750</v>
      </c>
      <c r="I460" t="s">
        <v>62</v>
      </c>
      <c r="L460" t="s">
        <v>1988</v>
      </c>
      <c r="M460">
        <v>8.25</v>
      </c>
      <c r="N460">
        <v>37.700000000000003</v>
      </c>
      <c r="O460">
        <v>7.96</v>
      </c>
      <c r="P460" s="3">
        <f t="shared" si="42"/>
        <v>0.96484848484848484</v>
      </c>
      <c r="Q460">
        <v>30.8</v>
      </c>
      <c r="R460" s="3">
        <f t="shared" si="43"/>
        <v>0.81697612732095481</v>
      </c>
      <c r="S460">
        <v>245</v>
      </c>
      <c r="T460">
        <v>8.8550000000000004</v>
      </c>
      <c r="U460">
        <v>37.659999999999997</v>
      </c>
      <c r="V460">
        <v>8.4039999999999999</v>
      </c>
      <c r="W460" s="3">
        <f t="shared" si="44"/>
        <v>0.94906832298136645</v>
      </c>
      <c r="X460">
        <v>30.38</v>
      </c>
      <c r="Y460" s="3">
        <f t="shared" si="45"/>
        <v>0.80669144981412644</v>
      </c>
      <c r="Z460">
        <v>255.3</v>
      </c>
      <c r="AA460">
        <v>76.5</v>
      </c>
      <c r="AB460">
        <v>25.1</v>
      </c>
      <c r="AC460" t="s">
        <v>64</v>
      </c>
      <c r="AE460" t="s">
        <v>65</v>
      </c>
      <c r="AF460" t="s">
        <v>66</v>
      </c>
      <c r="AG460" t="s">
        <v>509</v>
      </c>
      <c r="AH460" s="1">
        <v>0.52202546296296293</v>
      </c>
      <c r="AI460" t="s">
        <v>68</v>
      </c>
      <c r="AJ460" t="s">
        <v>69</v>
      </c>
      <c r="AO460">
        <v>7.1440000000000001</v>
      </c>
      <c r="AP460">
        <v>39.027000000000001</v>
      </c>
      <c r="AQ460">
        <v>51.2</v>
      </c>
      <c r="AY460">
        <v>2.36</v>
      </c>
      <c r="AZ460" t="s">
        <v>184</v>
      </c>
      <c r="BB460" t="s">
        <v>184</v>
      </c>
      <c r="BD460" t="s">
        <v>68</v>
      </c>
      <c r="BE460" t="s">
        <v>1997</v>
      </c>
      <c r="BG460" t="s">
        <v>1998</v>
      </c>
      <c r="BH460">
        <v>0</v>
      </c>
      <c r="BI460">
        <v>0</v>
      </c>
      <c r="BJ460">
        <v>1</v>
      </c>
      <c r="BK460" t="s">
        <v>1999</v>
      </c>
      <c r="BL460">
        <v>8.8620000000000001</v>
      </c>
      <c r="BN460" t="s">
        <v>1992</v>
      </c>
      <c r="BO460" s="1">
        <v>0.46859953703703705</v>
      </c>
      <c r="BP460" s="3">
        <f t="shared" si="46"/>
        <v>0.98364493273822529</v>
      </c>
      <c r="BQ460" s="3">
        <f t="shared" si="47"/>
        <v>0.98741128759716135</v>
      </c>
    </row>
    <row r="461" spans="1:69" hidden="1" x14ac:dyDescent="0.35">
      <c r="A461">
        <v>459</v>
      </c>
      <c r="B461">
        <v>10332</v>
      </c>
      <c r="D461">
        <v>34</v>
      </c>
      <c r="E461">
        <v>5</v>
      </c>
      <c r="G461">
        <v>16750</v>
      </c>
      <c r="I461" t="s">
        <v>62</v>
      </c>
      <c r="L461" t="s">
        <v>1988</v>
      </c>
      <c r="M461">
        <v>8.25</v>
      </c>
      <c r="N461">
        <v>37.700000000000003</v>
      </c>
      <c r="O461">
        <v>7.96</v>
      </c>
      <c r="P461" s="3">
        <f t="shared" si="42"/>
        <v>0.96484848484848484</v>
      </c>
      <c r="Q461">
        <v>30.8</v>
      </c>
      <c r="R461" s="3">
        <f t="shared" si="43"/>
        <v>0.81697612732095481</v>
      </c>
      <c r="S461">
        <v>245</v>
      </c>
      <c r="T461">
        <v>8.8369999999999997</v>
      </c>
      <c r="U461">
        <v>37.69</v>
      </c>
      <c r="V461">
        <v>8.3949999999999996</v>
      </c>
      <c r="W461" s="3">
        <f t="shared" si="44"/>
        <v>0.94998302591377159</v>
      </c>
      <c r="X461">
        <v>30.41</v>
      </c>
      <c r="Y461" s="3">
        <f t="shared" si="45"/>
        <v>0.80684531706022822</v>
      </c>
      <c r="Z461">
        <v>255.3</v>
      </c>
      <c r="AA461">
        <v>76.599999999999994</v>
      </c>
      <c r="AB461">
        <v>25</v>
      </c>
      <c r="AC461" t="s">
        <v>64</v>
      </c>
      <c r="AE461" t="s">
        <v>65</v>
      </c>
      <c r="AF461" t="s">
        <v>66</v>
      </c>
      <c r="AG461" t="s">
        <v>509</v>
      </c>
      <c r="AH461" s="1">
        <v>0.51108796296296299</v>
      </c>
      <c r="AI461" t="s">
        <v>68</v>
      </c>
      <c r="AJ461" t="s">
        <v>69</v>
      </c>
      <c r="AO461">
        <v>7.1440000000000001</v>
      </c>
      <c r="AP461">
        <v>39.326999999999998</v>
      </c>
      <c r="AQ461">
        <v>51.2</v>
      </c>
      <c r="AR461">
        <v>1.875</v>
      </c>
      <c r="AS461">
        <v>35.119999999999997</v>
      </c>
      <c r="AT461">
        <v>204.6</v>
      </c>
      <c r="AY461">
        <v>2.36</v>
      </c>
      <c r="AZ461" t="s">
        <v>184</v>
      </c>
      <c r="BB461" t="s">
        <v>184</v>
      </c>
      <c r="BD461" t="s">
        <v>68</v>
      </c>
      <c r="BE461" t="s">
        <v>2000</v>
      </c>
      <c r="BF461" t="s">
        <v>2001</v>
      </c>
      <c r="BG461" t="s">
        <v>2002</v>
      </c>
      <c r="BH461">
        <v>0</v>
      </c>
      <c r="BI461">
        <v>0</v>
      </c>
      <c r="BJ461">
        <v>1</v>
      </c>
      <c r="BK461" t="s">
        <v>2003</v>
      </c>
      <c r="BL461">
        <v>8.8620000000000001</v>
      </c>
      <c r="BN461" t="s">
        <v>1992</v>
      </c>
      <c r="BO461" s="1">
        <v>0.49447916666666669</v>
      </c>
      <c r="BP461" s="3">
        <f t="shared" si="46"/>
        <v>0.98459296027495169</v>
      </c>
      <c r="BQ461" s="3">
        <f t="shared" si="47"/>
        <v>0.98759962510294175</v>
      </c>
    </row>
    <row r="462" spans="1:69" hidden="1" x14ac:dyDescent="0.35">
      <c r="A462">
        <v>460</v>
      </c>
      <c r="B462">
        <v>10327</v>
      </c>
      <c r="D462">
        <v>34</v>
      </c>
      <c r="E462">
        <v>5</v>
      </c>
      <c r="G462">
        <v>16750</v>
      </c>
      <c r="I462" t="s">
        <v>62</v>
      </c>
      <c r="L462" t="s">
        <v>1988</v>
      </c>
      <c r="M462">
        <v>8.25</v>
      </c>
      <c r="N462">
        <v>37.700000000000003</v>
      </c>
      <c r="O462">
        <v>7.96</v>
      </c>
      <c r="P462" s="3">
        <f t="shared" si="42"/>
        <v>0.96484848484848484</v>
      </c>
      <c r="Q462">
        <v>30.8</v>
      </c>
      <c r="R462" s="3">
        <f t="shared" si="43"/>
        <v>0.81697612732095481</v>
      </c>
      <c r="S462">
        <v>245</v>
      </c>
      <c r="T462">
        <v>8.8260000000000005</v>
      </c>
      <c r="U462">
        <v>37.630000000000003</v>
      </c>
      <c r="V462">
        <v>8.3800000000000008</v>
      </c>
      <c r="W462" s="3">
        <f t="shared" si="44"/>
        <v>0.94946748243825063</v>
      </c>
      <c r="X462">
        <v>30.4</v>
      </c>
      <c r="Y462" s="3">
        <f t="shared" si="45"/>
        <v>0.80786606431039054</v>
      </c>
      <c r="Z462">
        <v>254.7</v>
      </c>
      <c r="AA462">
        <v>76.7</v>
      </c>
      <c r="AB462">
        <v>24.9</v>
      </c>
      <c r="AC462" t="s">
        <v>64</v>
      </c>
      <c r="AE462" t="s">
        <v>65</v>
      </c>
      <c r="AF462" t="s">
        <v>66</v>
      </c>
      <c r="AG462" t="s">
        <v>509</v>
      </c>
      <c r="AH462" s="1">
        <v>0.51310185185185186</v>
      </c>
      <c r="AI462" t="s">
        <v>68</v>
      </c>
      <c r="AJ462" t="s">
        <v>69</v>
      </c>
      <c r="AO462">
        <v>7.1440000000000001</v>
      </c>
      <c r="AP462">
        <v>39.101999999999997</v>
      </c>
      <c r="AQ462">
        <v>51.2</v>
      </c>
      <c r="AR462">
        <v>1.7849999999999999</v>
      </c>
      <c r="AS462">
        <v>35.011000000000003</v>
      </c>
      <c r="AT462">
        <v>204.6</v>
      </c>
      <c r="AY462">
        <v>2.36</v>
      </c>
      <c r="AZ462" t="s">
        <v>184</v>
      </c>
      <c r="BB462" t="s">
        <v>184</v>
      </c>
      <c r="BD462" t="s">
        <v>68</v>
      </c>
      <c r="BE462" t="s">
        <v>2004</v>
      </c>
      <c r="BF462" t="s">
        <v>2005</v>
      </c>
      <c r="BG462" t="s">
        <v>2006</v>
      </c>
      <c r="BH462">
        <v>0</v>
      </c>
      <c r="BI462">
        <v>0</v>
      </c>
      <c r="BJ462">
        <v>1</v>
      </c>
      <c r="BK462" t="s">
        <v>2007</v>
      </c>
      <c r="BL462">
        <v>8.8620000000000001</v>
      </c>
      <c r="BN462" t="s">
        <v>1992</v>
      </c>
      <c r="BO462" s="1">
        <v>0.48732638888888891</v>
      </c>
      <c r="BP462" s="3">
        <f t="shared" si="46"/>
        <v>0.98405863443662911</v>
      </c>
      <c r="BQ462" s="3">
        <f t="shared" si="47"/>
        <v>0.9888490462500561</v>
      </c>
    </row>
    <row r="463" spans="1:69" hidden="1" x14ac:dyDescent="0.35">
      <c r="A463">
        <v>461</v>
      </c>
      <c r="B463">
        <v>10328</v>
      </c>
      <c r="D463">
        <v>34</v>
      </c>
      <c r="E463">
        <v>5</v>
      </c>
      <c r="G463">
        <v>16750</v>
      </c>
      <c r="I463" t="s">
        <v>62</v>
      </c>
      <c r="L463" t="s">
        <v>1988</v>
      </c>
      <c r="M463">
        <v>8.25</v>
      </c>
      <c r="N463">
        <v>37.700000000000003</v>
      </c>
      <c r="O463">
        <v>7.96</v>
      </c>
      <c r="P463" s="3">
        <f t="shared" si="42"/>
        <v>0.96484848484848484</v>
      </c>
      <c r="Q463">
        <v>30.8</v>
      </c>
      <c r="R463" s="3">
        <f t="shared" si="43"/>
        <v>0.81697612732095481</v>
      </c>
      <c r="S463">
        <v>245</v>
      </c>
      <c r="T463">
        <v>8.9019999999999992</v>
      </c>
      <c r="U463">
        <v>37.67</v>
      </c>
      <c r="V463">
        <v>8.4510000000000005</v>
      </c>
      <c r="W463" s="3">
        <f t="shared" si="44"/>
        <v>0.94933722758930594</v>
      </c>
      <c r="X463">
        <v>30.4</v>
      </c>
      <c r="Y463" s="3">
        <f t="shared" si="45"/>
        <v>0.80700822936023353</v>
      </c>
      <c r="Z463">
        <v>256.89999999999998</v>
      </c>
      <c r="AA463">
        <v>76.599999999999994</v>
      </c>
      <c r="AB463">
        <v>24.6</v>
      </c>
      <c r="AC463" t="s">
        <v>64</v>
      </c>
      <c r="AE463" t="s">
        <v>65</v>
      </c>
      <c r="AF463" t="s">
        <v>66</v>
      </c>
      <c r="AG463" t="s">
        <v>509</v>
      </c>
      <c r="AH463" s="1">
        <v>0.48373842592592592</v>
      </c>
      <c r="AI463" t="s">
        <v>68</v>
      </c>
      <c r="AJ463" t="s">
        <v>69</v>
      </c>
      <c r="AO463">
        <v>7.1440000000000001</v>
      </c>
      <c r="AP463">
        <v>39.14</v>
      </c>
      <c r="AQ463">
        <v>51.2</v>
      </c>
      <c r="AR463">
        <v>1.79</v>
      </c>
      <c r="AS463">
        <v>35.085999999999999</v>
      </c>
      <c r="AT463">
        <v>204.6</v>
      </c>
      <c r="AY463">
        <v>2.36</v>
      </c>
      <c r="AZ463" t="s">
        <v>184</v>
      </c>
      <c r="BB463" t="s">
        <v>184</v>
      </c>
      <c r="BD463" t="s">
        <v>68</v>
      </c>
      <c r="BE463" t="s">
        <v>2008</v>
      </c>
      <c r="BF463" t="s">
        <v>2009</v>
      </c>
      <c r="BG463" t="s">
        <v>2010</v>
      </c>
      <c r="BH463">
        <v>0</v>
      </c>
      <c r="BI463">
        <v>0</v>
      </c>
      <c r="BJ463">
        <v>1</v>
      </c>
      <c r="BK463" t="s">
        <v>2011</v>
      </c>
      <c r="BL463">
        <v>8.8620000000000001</v>
      </c>
      <c r="BN463" t="s">
        <v>1992</v>
      </c>
      <c r="BO463" s="1">
        <v>0.49991898148148151</v>
      </c>
      <c r="BP463" s="3">
        <f t="shared" si="46"/>
        <v>0.98392363412208217</v>
      </c>
      <c r="BQ463" s="3">
        <f t="shared" si="47"/>
        <v>0.98779903398963664</v>
      </c>
    </row>
    <row r="464" spans="1:69" hidden="1" x14ac:dyDescent="0.35">
      <c r="A464">
        <v>462</v>
      </c>
      <c r="B464">
        <v>10321</v>
      </c>
      <c r="D464">
        <v>34</v>
      </c>
      <c r="E464">
        <v>5</v>
      </c>
      <c r="G464">
        <v>16750</v>
      </c>
      <c r="I464" t="s">
        <v>62</v>
      </c>
      <c r="L464" t="s">
        <v>1988</v>
      </c>
      <c r="M464">
        <v>8.25</v>
      </c>
      <c r="N464">
        <v>37.700000000000003</v>
      </c>
      <c r="O464">
        <v>7.96</v>
      </c>
      <c r="P464" s="3">
        <f t="shared" si="42"/>
        <v>0.96484848484848484</v>
      </c>
      <c r="Q464">
        <v>30.8</v>
      </c>
      <c r="R464" s="3">
        <f t="shared" si="43"/>
        <v>0.81697612732095481</v>
      </c>
      <c r="S464">
        <v>245</v>
      </c>
      <c r="T464">
        <v>8.8460000000000001</v>
      </c>
      <c r="U464">
        <v>37.69</v>
      </c>
      <c r="V464">
        <v>8.4079999999999995</v>
      </c>
      <c r="W464" s="3">
        <f t="shared" si="44"/>
        <v>0.95048609541035489</v>
      </c>
      <c r="X464">
        <v>30.42</v>
      </c>
      <c r="Y464" s="3">
        <f t="shared" si="45"/>
        <v>0.80711063942690375</v>
      </c>
      <c r="Z464">
        <v>255.8</v>
      </c>
      <c r="AA464">
        <v>76.7</v>
      </c>
      <c r="AB464">
        <v>25</v>
      </c>
      <c r="AC464" t="s">
        <v>64</v>
      </c>
      <c r="AE464" t="s">
        <v>65</v>
      </c>
      <c r="AF464" t="s">
        <v>66</v>
      </c>
      <c r="AG464" t="s">
        <v>509</v>
      </c>
      <c r="AH464" s="1">
        <v>0.51834490740740746</v>
      </c>
      <c r="AI464" t="s">
        <v>68</v>
      </c>
      <c r="AJ464" t="s">
        <v>69</v>
      </c>
      <c r="AO464">
        <v>7.1390000000000002</v>
      </c>
      <c r="AP464">
        <v>39.215000000000003</v>
      </c>
      <c r="AQ464">
        <v>51.2</v>
      </c>
      <c r="AR464">
        <v>1.7849999999999999</v>
      </c>
      <c r="AS464">
        <v>35.124000000000002</v>
      </c>
      <c r="AT464">
        <v>204.6</v>
      </c>
      <c r="AY464">
        <v>2.36</v>
      </c>
      <c r="AZ464" t="s">
        <v>184</v>
      </c>
      <c r="BB464" t="s">
        <v>184</v>
      </c>
      <c r="BD464" t="s">
        <v>68</v>
      </c>
      <c r="BE464" t="s">
        <v>2012</v>
      </c>
      <c r="BF464" t="s">
        <v>2013</v>
      </c>
      <c r="BG464" t="s">
        <v>2014</v>
      </c>
      <c r="BH464">
        <v>0</v>
      </c>
      <c r="BI464">
        <v>0</v>
      </c>
      <c r="BJ464">
        <v>1</v>
      </c>
      <c r="BK464" t="s">
        <v>2015</v>
      </c>
      <c r="BL464">
        <v>8.8620000000000001</v>
      </c>
      <c r="BN464" t="s">
        <v>1992</v>
      </c>
      <c r="BO464" s="1">
        <v>0.47753472222222221</v>
      </c>
      <c r="BP464" s="3">
        <f t="shared" si="46"/>
        <v>0.98511435768033018</v>
      </c>
      <c r="BQ464" s="3">
        <f t="shared" si="47"/>
        <v>0.98792438657124271</v>
      </c>
    </row>
    <row r="465" spans="1:69" hidden="1" x14ac:dyDescent="0.35">
      <c r="A465">
        <v>463</v>
      </c>
      <c r="B465">
        <v>10322</v>
      </c>
      <c r="D465">
        <v>34</v>
      </c>
      <c r="E465">
        <v>5</v>
      </c>
      <c r="G465">
        <v>16750</v>
      </c>
      <c r="I465" t="s">
        <v>62</v>
      </c>
      <c r="L465" t="s">
        <v>1988</v>
      </c>
      <c r="M465">
        <v>8.25</v>
      </c>
      <c r="N465">
        <v>37.700000000000003</v>
      </c>
      <c r="O465">
        <v>7.96</v>
      </c>
      <c r="P465" s="3">
        <f t="shared" si="42"/>
        <v>0.96484848484848484</v>
      </c>
      <c r="Q465">
        <v>30.8</v>
      </c>
      <c r="R465" s="3">
        <f t="shared" si="43"/>
        <v>0.81697612732095481</v>
      </c>
      <c r="S465">
        <v>245</v>
      </c>
      <c r="T465">
        <v>8.8640000000000008</v>
      </c>
      <c r="U465">
        <v>37.659999999999997</v>
      </c>
      <c r="V465">
        <v>8.3819999999999997</v>
      </c>
      <c r="W465" s="3">
        <f t="shared" si="44"/>
        <v>0.94562274368231036</v>
      </c>
      <c r="X465">
        <v>30.38</v>
      </c>
      <c r="Y465" s="3">
        <f t="shared" si="45"/>
        <v>0.80669144981412644</v>
      </c>
      <c r="Z465">
        <v>254.6</v>
      </c>
      <c r="AA465">
        <v>76.3</v>
      </c>
      <c r="AB465">
        <v>25</v>
      </c>
      <c r="AC465" t="s">
        <v>64</v>
      </c>
      <c r="AE465" t="s">
        <v>65</v>
      </c>
      <c r="AF465" t="s">
        <v>66</v>
      </c>
      <c r="AG465" t="s">
        <v>509</v>
      </c>
      <c r="AH465" s="1">
        <v>0.51528935185185187</v>
      </c>
      <c r="AI465" t="s">
        <v>68</v>
      </c>
      <c r="AJ465" t="s">
        <v>69</v>
      </c>
      <c r="AO465">
        <v>7.1440000000000001</v>
      </c>
      <c r="AP465">
        <v>39.215000000000003</v>
      </c>
      <c r="AQ465">
        <v>51.2</v>
      </c>
      <c r="AR465">
        <v>1.7849999999999999</v>
      </c>
      <c r="AS465">
        <v>35.124000000000002</v>
      </c>
      <c r="AT465">
        <v>204.6</v>
      </c>
      <c r="AY465">
        <v>2.36</v>
      </c>
      <c r="AZ465" t="s">
        <v>184</v>
      </c>
      <c r="BB465" t="s">
        <v>184</v>
      </c>
      <c r="BD465" t="s">
        <v>68</v>
      </c>
      <c r="BE465" t="s">
        <v>2016</v>
      </c>
      <c r="BF465" t="s">
        <v>2017</v>
      </c>
      <c r="BG465" t="s">
        <v>2018</v>
      </c>
      <c r="BH465">
        <v>0</v>
      </c>
      <c r="BI465">
        <v>0</v>
      </c>
      <c r="BJ465">
        <v>1</v>
      </c>
      <c r="BK465" t="s">
        <v>2019</v>
      </c>
      <c r="BL465">
        <v>8.8620000000000001</v>
      </c>
      <c r="BN465" t="s">
        <v>1992</v>
      </c>
      <c r="BO465" s="1">
        <v>0.49137731481481484</v>
      </c>
      <c r="BP465" s="3">
        <f t="shared" si="46"/>
        <v>0.98007382354008299</v>
      </c>
      <c r="BQ465" s="3">
        <f t="shared" si="47"/>
        <v>0.98741128759716135</v>
      </c>
    </row>
    <row r="466" spans="1:69" hidden="1" x14ac:dyDescent="0.35">
      <c r="A466">
        <v>464</v>
      </c>
      <c r="B466">
        <v>10326</v>
      </c>
      <c r="D466">
        <v>34</v>
      </c>
      <c r="E466">
        <v>5</v>
      </c>
      <c r="G466">
        <v>16750</v>
      </c>
      <c r="I466" t="s">
        <v>62</v>
      </c>
      <c r="L466" t="s">
        <v>1988</v>
      </c>
      <c r="M466">
        <v>8.25</v>
      </c>
      <c r="N466">
        <v>37.700000000000003</v>
      </c>
      <c r="O466">
        <v>7.96</v>
      </c>
      <c r="P466" s="3">
        <f t="shared" si="42"/>
        <v>0.96484848484848484</v>
      </c>
      <c r="Q466">
        <v>30.8</v>
      </c>
      <c r="R466" s="3">
        <f t="shared" si="43"/>
        <v>0.81697612732095481</v>
      </c>
      <c r="S466">
        <v>245</v>
      </c>
      <c r="T466">
        <v>8.83</v>
      </c>
      <c r="U466">
        <v>37.67</v>
      </c>
      <c r="V466">
        <v>8.4060000000000006</v>
      </c>
      <c r="W466" s="3">
        <f t="shared" si="44"/>
        <v>0.95198187995469996</v>
      </c>
      <c r="X466">
        <v>30.45</v>
      </c>
      <c r="Y466" s="3">
        <f t="shared" si="45"/>
        <v>0.80833554552694442</v>
      </c>
      <c r="Z466">
        <v>256</v>
      </c>
      <c r="AA466">
        <v>77</v>
      </c>
      <c r="AB466">
        <v>24.9</v>
      </c>
      <c r="AC466" t="s">
        <v>64</v>
      </c>
      <c r="AE466" t="s">
        <v>65</v>
      </c>
      <c r="AF466" t="s">
        <v>66</v>
      </c>
      <c r="AG466" t="s">
        <v>509</v>
      </c>
      <c r="AH466" s="1">
        <v>0.52057870370370374</v>
      </c>
      <c r="AI466" t="s">
        <v>68</v>
      </c>
      <c r="AJ466" t="s">
        <v>69</v>
      </c>
      <c r="AO466">
        <v>7.1390000000000002</v>
      </c>
      <c r="AP466">
        <v>39.064999999999998</v>
      </c>
      <c r="AQ466">
        <v>51.2</v>
      </c>
      <c r="AR466">
        <v>1.7849999999999999</v>
      </c>
      <c r="AS466">
        <v>34.936</v>
      </c>
      <c r="AT466">
        <v>204.6</v>
      </c>
      <c r="AY466">
        <v>2.36</v>
      </c>
      <c r="AZ466" t="s">
        <v>184</v>
      </c>
      <c r="BB466" t="s">
        <v>184</v>
      </c>
      <c r="BD466" t="s">
        <v>68</v>
      </c>
      <c r="BE466" t="s">
        <v>2020</v>
      </c>
      <c r="BF466" t="s">
        <v>2021</v>
      </c>
      <c r="BG466" t="s">
        <v>2022</v>
      </c>
      <c r="BH466">
        <v>0</v>
      </c>
      <c r="BI466">
        <v>0</v>
      </c>
      <c r="BJ466">
        <v>1</v>
      </c>
      <c r="BK466" t="s">
        <v>2023</v>
      </c>
      <c r="BL466">
        <v>8.8620000000000001</v>
      </c>
      <c r="BN466" t="s">
        <v>1992</v>
      </c>
      <c r="BO466" s="1">
        <v>0.4805787037037037</v>
      </c>
      <c r="BP466" s="3">
        <f t="shared" si="46"/>
        <v>0.98666463688772299</v>
      </c>
      <c r="BQ466" s="3">
        <f t="shared" si="47"/>
        <v>0.98942370345343533</v>
      </c>
    </row>
    <row r="467" spans="1:69" hidden="1" x14ac:dyDescent="0.35">
      <c r="A467">
        <v>465</v>
      </c>
      <c r="B467">
        <v>10333</v>
      </c>
      <c r="D467">
        <v>34</v>
      </c>
      <c r="E467">
        <v>5</v>
      </c>
      <c r="G467">
        <v>16750</v>
      </c>
      <c r="I467" t="s">
        <v>62</v>
      </c>
      <c r="L467" t="s">
        <v>1988</v>
      </c>
      <c r="M467">
        <v>8.25</v>
      </c>
      <c r="N467">
        <v>37.700000000000003</v>
      </c>
      <c r="O467">
        <v>7.96</v>
      </c>
      <c r="P467" s="3">
        <f t="shared" si="42"/>
        <v>0.96484848484848484</v>
      </c>
      <c r="Q467">
        <v>30.8</v>
      </c>
      <c r="R467" s="3">
        <f t="shared" si="43"/>
        <v>0.81697612732095481</v>
      </c>
      <c r="S467">
        <v>245</v>
      </c>
      <c r="T467">
        <v>8.9090000000000007</v>
      </c>
      <c r="U467">
        <v>37.68</v>
      </c>
      <c r="V467">
        <v>8.4459999999999997</v>
      </c>
      <c r="W467" s="3">
        <f t="shared" si="44"/>
        <v>0.94803008193961158</v>
      </c>
      <c r="X467">
        <v>30.4</v>
      </c>
      <c r="Y467" s="3">
        <f t="shared" si="45"/>
        <v>0.80679405520169845</v>
      </c>
      <c r="Z467">
        <v>256.7</v>
      </c>
      <c r="AA467">
        <v>76.5</v>
      </c>
      <c r="AB467">
        <v>25</v>
      </c>
      <c r="AC467" t="s">
        <v>64</v>
      </c>
      <c r="AE467" t="s">
        <v>65</v>
      </c>
      <c r="AF467" t="s">
        <v>66</v>
      </c>
      <c r="AG467" t="s">
        <v>509</v>
      </c>
      <c r="AH467" s="1">
        <v>0.48958333333333331</v>
      </c>
      <c r="AI467" t="s">
        <v>68</v>
      </c>
      <c r="AJ467" t="s">
        <v>69</v>
      </c>
      <c r="AO467">
        <v>7.1390000000000002</v>
      </c>
      <c r="AP467">
        <v>39.215000000000003</v>
      </c>
      <c r="AQ467">
        <v>51.2</v>
      </c>
      <c r="AR467">
        <v>1.79</v>
      </c>
      <c r="AS467">
        <v>35.124000000000002</v>
      </c>
      <c r="AT467">
        <v>204.6</v>
      </c>
      <c r="AY467">
        <v>2.36</v>
      </c>
      <c r="AZ467" t="s">
        <v>184</v>
      </c>
      <c r="BB467" t="s">
        <v>184</v>
      </c>
      <c r="BD467" t="s">
        <v>68</v>
      </c>
      <c r="BE467" t="s">
        <v>2024</v>
      </c>
      <c r="BF467" t="s">
        <v>2025</v>
      </c>
      <c r="BG467" t="s">
        <v>2026</v>
      </c>
      <c r="BH467">
        <v>0</v>
      </c>
      <c r="BI467">
        <v>0</v>
      </c>
      <c r="BJ467">
        <v>1</v>
      </c>
      <c r="BK467" t="s">
        <v>2027</v>
      </c>
      <c r="BL467">
        <v>8.8620000000000001</v>
      </c>
      <c r="BN467" t="s">
        <v>1992</v>
      </c>
      <c r="BO467" s="1">
        <v>0.50285879629629626</v>
      </c>
      <c r="BP467" s="3">
        <f t="shared" si="46"/>
        <v>0.98256886633188389</v>
      </c>
      <c r="BQ467" s="3">
        <f t="shared" si="47"/>
        <v>0.98753687925662448</v>
      </c>
    </row>
    <row r="468" spans="1:69" hidden="1" x14ac:dyDescent="0.35">
      <c r="A468">
        <v>466</v>
      </c>
      <c r="B468">
        <v>4835</v>
      </c>
      <c r="D468">
        <v>32</v>
      </c>
      <c r="E468">
        <v>2</v>
      </c>
      <c r="G468">
        <v>19793.8</v>
      </c>
      <c r="I468" t="s">
        <v>62</v>
      </c>
      <c r="L468" t="s">
        <v>2028</v>
      </c>
      <c r="M468">
        <v>9.82</v>
      </c>
      <c r="N468">
        <v>51.1</v>
      </c>
      <c r="O468">
        <v>9.41</v>
      </c>
      <c r="P468" s="3">
        <f t="shared" si="42"/>
        <v>0.9582484725050916</v>
      </c>
      <c r="Q468">
        <v>42.4</v>
      </c>
      <c r="R468" s="3">
        <f t="shared" si="43"/>
        <v>0.82974559686888449</v>
      </c>
      <c r="S468">
        <v>400</v>
      </c>
      <c r="T468">
        <v>9.6340000000000003</v>
      </c>
      <c r="U468">
        <v>50.86</v>
      </c>
      <c r="V468">
        <v>9.0990000000000002</v>
      </c>
      <c r="W468" s="3">
        <f t="shared" si="44"/>
        <v>0.94446751089889969</v>
      </c>
      <c r="X468">
        <v>42.64</v>
      </c>
      <c r="Y468" s="3">
        <f t="shared" si="45"/>
        <v>0.83837986629964611</v>
      </c>
      <c r="Z468">
        <v>388</v>
      </c>
      <c r="AA468">
        <v>79.2</v>
      </c>
      <c r="AB468">
        <v>25.2</v>
      </c>
      <c r="AC468" t="s">
        <v>64</v>
      </c>
      <c r="AE468" t="s">
        <v>65</v>
      </c>
      <c r="AF468" t="s">
        <v>66</v>
      </c>
      <c r="AG468" s="2">
        <v>44238</v>
      </c>
      <c r="AH468" s="1">
        <v>0.51307870370370368</v>
      </c>
      <c r="AI468" t="s">
        <v>68</v>
      </c>
      <c r="AJ468" t="s">
        <v>69</v>
      </c>
      <c r="AO468">
        <v>7.694</v>
      </c>
      <c r="AP468">
        <v>52.206000000000003</v>
      </c>
      <c r="AQ468">
        <v>8</v>
      </c>
      <c r="AR468">
        <v>1.92</v>
      </c>
      <c r="AS468">
        <v>47.963999999999999</v>
      </c>
      <c r="AT468">
        <v>40</v>
      </c>
      <c r="AY468">
        <v>1.9</v>
      </c>
      <c r="AZ468" s="2">
        <v>44266</v>
      </c>
      <c r="BB468" s="2">
        <v>44266</v>
      </c>
      <c r="BD468" t="s">
        <v>68</v>
      </c>
      <c r="BE468" t="s">
        <v>2029</v>
      </c>
      <c r="BF468" t="s">
        <v>2030</v>
      </c>
      <c r="BG468" t="s">
        <v>2031</v>
      </c>
      <c r="BH468">
        <v>0</v>
      </c>
      <c r="BI468">
        <v>0</v>
      </c>
      <c r="BJ468">
        <v>1</v>
      </c>
      <c r="BK468" t="s">
        <v>2032</v>
      </c>
      <c r="BL468">
        <v>8.8620000000000001</v>
      </c>
      <c r="BM468">
        <v>8.8620000000000001</v>
      </c>
      <c r="BN468" t="s">
        <v>2033</v>
      </c>
      <c r="BO468" s="1">
        <v>0.58957175925925931</v>
      </c>
      <c r="BP468" s="3">
        <f t="shared" si="46"/>
        <v>0.98561859267026519</v>
      </c>
      <c r="BQ468" s="3">
        <f t="shared" si="47"/>
        <v>1.0104059237715075</v>
      </c>
    </row>
    <row r="469" spans="1:69" hidden="1" x14ac:dyDescent="0.35">
      <c r="A469">
        <v>467</v>
      </c>
      <c r="B469">
        <v>4836</v>
      </c>
      <c r="D469">
        <v>32</v>
      </c>
      <c r="E469">
        <v>2</v>
      </c>
      <c r="G469">
        <v>19793.8</v>
      </c>
      <c r="I469" t="s">
        <v>62</v>
      </c>
      <c r="L469" t="s">
        <v>2028</v>
      </c>
      <c r="M469">
        <v>9.82</v>
      </c>
      <c r="N469">
        <v>51.1</v>
      </c>
      <c r="O469">
        <v>9.41</v>
      </c>
      <c r="P469" s="3">
        <f t="shared" si="42"/>
        <v>0.9582484725050916</v>
      </c>
      <c r="Q469">
        <v>42.4</v>
      </c>
      <c r="R469" s="3">
        <f t="shared" si="43"/>
        <v>0.82974559686888449</v>
      </c>
      <c r="S469">
        <v>400</v>
      </c>
      <c r="T469">
        <v>9.6029999999999998</v>
      </c>
      <c r="U469">
        <v>50.89</v>
      </c>
      <c r="V469">
        <v>9.07</v>
      </c>
      <c r="W469" s="3">
        <f t="shared" si="44"/>
        <v>0.94449651150682079</v>
      </c>
      <c r="X469">
        <v>42.39</v>
      </c>
      <c r="Y469" s="3">
        <f t="shared" si="45"/>
        <v>0.83297307919041064</v>
      </c>
      <c r="Z469">
        <v>384.5</v>
      </c>
      <c r="AA469">
        <v>78.7</v>
      </c>
      <c r="AB469">
        <v>24.8</v>
      </c>
      <c r="AC469" t="s">
        <v>64</v>
      </c>
      <c r="AE469" t="s">
        <v>65</v>
      </c>
      <c r="AF469" t="s">
        <v>66</v>
      </c>
      <c r="AG469" s="2">
        <v>44238</v>
      </c>
      <c r="AH469" s="1">
        <v>0.53277777777777779</v>
      </c>
      <c r="AI469" t="s">
        <v>68</v>
      </c>
      <c r="AJ469" t="s">
        <v>69</v>
      </c>
      <c r="AO469">
        <v>7.6890000000000001</v>
      </c>
      <c r="AP469">
        <v>52.280999999999999</v>
      </c>
      <c r="AQ469">
        <v>8</v>
      </c>
      <c r="AR469">
        <v>1.92</v>
      </c>
      <c r="AS469">
        <v>48.002000000000002</v>
      </c>
      <c r="AT469">
        <v>40</v>
      </c>
      <c r="AY469">
        <v>1.9</v>
      </c>
      <c r="AZ469" s="2">
        <v>44238</v>
      </c>
      <c r="BB469" s="2">
        <v>44238</v>
      </c>
      <c r="BD469" t="s">
        <v>68</v>
      </c>
      <c r="BE469" t="s">
        <v>2034</v>
      </c>
      <c r="BF469" t="s">
        <v>2035</v>
      </c>
      <c r="BG469" t="s">
        <v>2036</v>
      </c>
      <c r="BH469">
        <v>0</v>
      </c>
      <c r="BI469">
        <v>0</v>
      </c>
      <c r="BJ469">
        <v>1</v>
      </c>
      <c r="BK469" t="s">
        <v>2037</v>
      </c>
      <c r="BL469">
        <v>8.8620000000000001</v>
      </c>
      <c r="BM469">
        <v>8.8620000000000001</v>
      </c>
      <c r="BN469" t="s">
        <v>2033</v>
      </c>
      <c r="BO469" s="1">
        <v>0.59049768518518519</v>
      </c>
      <c r="BP469" s="3">
        <f t="shared" si="46"/>
        <v>0.98564885685408932</v>
      </c>
      <c r="BQ469" s="3">
        <f t="shared" si="47"/>
        <v>1.0038897251563677</v>
      </c>
    </row>
    <row r="470" spans="1:69" hidden="1" x14ac:dyDescent="0.35">
      <c r="A470">
        <v>468</v>
      </c>
      <c r="B470">
        <v>4837</v>
      </c>
      <c r="D470">
        <v>32</v>
      </c>
      <c r="E470">
        <v>2</v>
      </c>
      <c r="G470">
        <v>19793.8</v>
      </c>
      <c r="I470" t="s">
        <v>62</v>
      </c>
      <c r="L470" t="s">
        <v>2028</v>
      </c>
      <c r="M470">
        <v>9.82</v>
      </c>
      <c r="N470">
        <v>51.1</v>
      </c>
      <c r="O470">
        <v>9.41</v>
      </c>
      <c r="P470" s="3">
        <f t="shared" si="42"/>
        <v>0.9582484725050916</v>
      </c>
      <c r="Q470">
        <v>42.4</v>
      </c>
      <c r="R470" s="3">
        <f t="shared" si="43"/>
        <v>0.82974559686888449</v>
      </c>
      <c r="S470">
        <v>400</v>
      </c>
      <c r="T470">
        <v>9.6349999999999998</v>
      </c>
      <c r="U470">
        <v>50.86</v>
      </c>
      <c r="V470">
        <v>9.077</v>
      </c>
      <c r="W470" s="3">
        <f t="shared" si="44"/>
        <v>0.94208614426569803</v>
      </c>
      <c r="X470">
        <v>42.27</v>
      </c>
      <c r="Y470" s="3">
        <f t="shared" si="45"/>
        <v>0.831104994101455</v>
      </c>
      <c r="Z470">
        <v>383.7</v>
      </c>
      <c r="AA470">
        <v>78.3</v>
      </c>
      <c r="AB470">
        <v>25.2</v>
      </c>
      <c r="AC470" t="s">
        <v>64</v>
      </c>
      <c r="AE470" t="s">
        <v>65</v>
      </c>
      <c r="AF470" t="s">
        <v>66</v>
      </c>
      <c r="AG470" s="2">
        <v>44238</v>
      </c>
      <c r="AH470" s="1">
        <v>0.51165509259259256</v>
      </c>
      <c r="AI470" t="s">
        <v>68</v>
      </c>
      <c r="AJ470" t="s">
        <v>69</v>
      </c>
      <c r="AO470">
        <v>7.6890000000000001</v>
      </c>
      <c r="AP470">
        <v>52.393000000000001</v>
      </c>
      <c r="AQ470">
        <v>8</v>
      </c>
      <c r="AR470">
        <v>1.92</v>
      </c>
      <c r="AS470">
        <v>48.002000000000002</v>
      </c>
      <c r="AT470">
        <v>40</v>
      </c>
      <c r="AY470">
        <v>1.9</v>
      </c>
      <c r="AZ470" s="2">
        <v>44266</v>
      </c>
      <c r="BB470" s="2">
        <v>44266</v>
      </c>
      <c r="BD470" t="s">
        <v>68</v>
      </c>
      <c r="BE470" t="s">
        <v>2038</v>
      </c>
      <c r="BF470" t="s">
        <v>2039</v>
      </c>
      <c r="BG470" t="s">
        <v>2040</v>
      </c>
      <c r="BH470">
        <v>0</v>
      </c>
      <c r="BI470">
        <v>0</v>
      </c>
      <c r="BJ470">
        <v>1</v>
      </c>
      <c r="BK470" t="s">
        <v>2041</v>
      </c>
      <c r="BL470">
        <v>8.8620000000000001</v>
      </c>
      <c r="BM470">
        <v>8.8620000000000001</v>
      </c>
      <c r="BN470" t="s">
        <v>2033</v>
      </c>
      <c r="BO470" s="1">
        <v>0.59159722222222222</v>
      </c>
      <c r="BP470" s="3">
        <f t="shared" si="46"/>
        <v>0.98313346829852877</v>
      </c>
      <c r="BQ470" s="3">
        <f t="shared" si="47"/>
        <v>1.0016383301552914</v>
      </c>
    </row>
    <row r="471" spans="1:69" hidden="1" x14ac:dyDescent="0.35">
      <c r="A471">
        <v>469</v>
      </c>
      <c r="B471">
        <v>4833</v>
      </c>
      <c r="D471">
        <v>32</v>
      </c>
      <c r="E471">
        <v>2</v>
      </c>
      <c r="G471">
        <v>19793.8</v>
      </c>
      <c r="I471" t="s">
        <v>62</v>
      </c>
      <c r="L471" t="s">
        <v>2028</v>
      </c>
      <c r="M471">
        <v>9.82</v>
      </c>
      <c r="N471">
        <v>51.1</v>
      </c>
      <c r="O471">
        <v>9.41</v>
      </c>
      <c r="P471" s="3">
        <f t="shared" si="42"/>
        <v>0.9582484725050916</v>
      </c>
      <c r="Q471">
        <v>42.4</v>
      </c>
      <c r="R471" s="3">
        <f t="shared" si="43"/>
        <v>0.82974559686888449</v>
      </c>
      <c r="S471">
        <v>400</v>
      </c>
      <c r="T471">
        <v>9.6319999999999997</v>
      </c>
      <c r="U471">
        <v>50.97</v>
      </c>
      <c r="V471">
        <v>9.1039999999999992</v>
      </c>
      <c r="W471" s="3">
        <f t="shared" si="44"/>
        <v>0.94518272425249161</v>
      </c>
      <c r="X471">
        <v>42.7</v>
      </c>
      <c r="Y471" s="3">
        <f t="shared" si="45"/>
        <v>0.83774769472238575</v>
      </c>
      <c r="Z471">
        <v>388.8</v>
      </c>
      <c r="AA471">
        <v>79.2</v>
      </c>
      <c r="AB471">
        <v>25.2</v>
      </c>
      <c r="AC471" t="s">
        <v>64</v>
      </c>
      <c r="AE471" t="s">
        <v>65</v>
      </c>
      <c r="AF471" t="s">
        <v>66</v>
      </c>
      <c r="AG471" s="2">
        <v>44238</v>
      </c>
      <c r="AH471" s="1">
        <v>0.51579861111111114</v>
      </c>
      <c r="AI471" t="s">
        <v>68</v>
      </c>
      <c r="AJ471" t="s">
        <v>69</v>
      </c>
      <c r="AO471">
        <v>7.694</v>
      </c>
      <c r="AP471">
        <v>52.317999999999998</v>
      </c>
      <c r="AQ471">
        <v>8</v>
      </c>
      <c r="AR471">
        <v>1.915</v>
      </c>
      <c r="AS471">
        <v>48.002000000000002</v>
      </c>
      <c r="AT471">
        <v>40</v>
      </c>
      <c r="AY471">
        <v>1.9</v>
      </c>
      <c r="AZ471" s="2">
        <v>44266</v>
      </c>
      <c r="BB471" s="2">
        <v>44266</v>
      </c>
      <c r="BD471" t="s">
        <v>68</v>
      </c>
      <c r="BE471" t="s">
        <v>2042</v>
      </c>
      <c r="BF471" t="s">
        <v>2043</v>
      </c>
      <c r="BG471" t="s">
        <v>2044</v>
      </c>
      <c r="BH471">
        <v>0</v>
      </c>
      <c r="BI471">
        <v>0</v>
      </c>
      <c r="BJ471">
        <v>1</v>
      </c>
      <c r="BK471" t="s">
        <v>2045</v>
      </c>
      <c r="BL471">
        <v>8.8620000000000001</v>
      </c>
      <c r="BM471">
        <v>8.8620000000000001</v>
      </c>
      <c r="BN471" t="s">
        <v>2033</v>
      </c>
      <c r="BO471" s="1">
        <v>0.58590277777777777</v>
      </c>
      <c r="BP471" s="3">
        <f t="shared" si="46"/>
        <v>0.98636496834850884</v>
      </c>
      <c r="BQ471" s="3">
        <f t="shared" si="47"/>
        <v>1.0096440377432527</v>
      </c>
    </row>
    <row r="472" spans="1:69" hidden="1" x14ac:dyDescent="0.35">
      <c r="A472">
        <v>470</v>
      </c>
      <c r="B472">
        <v>4838</v>
      </c>
      <c r="D472">
        <v>32</v>
      </c>
      <c r="E472">
        <v>2</v>
      </c>
      <c r="G472">
        <v>19793.8</v>
      </c>
      <c r="I472" t="s">
        <v>62</v>
      </c>
      <c r="L472" t="s">
        <v>2028</v>
      </c>
      <c r="M472">
        <v>9.82</v>
      </c>
      <c r="N472">
        <v>51.1</v>
      </c>
      <c r="O472">
        <v>9.41</v>
      </c>
      <c r="P472" s="3">
        <f t="shared" si="42"/>
        <v>0.9582484725050916</v>
      </c>
      <c r="Q472">
        <v>42.4</v>
      </c>
      <c r="R472" s="3">
        <f t="shared" si="43"/>
        <v>0.82974559686888449</v>
      </c>
      <c r="S472">
        <v>400</v>
      </c>
      <c r="T472">
        <v>9.6069999999999993</v>
      </c>
      <c r="U472">
        <v>50.86</v>
      </c>
      <c r="V472">
        <v>9.0969999999999995</v>
      </c>
      <c r="W472" s="3">
        <f t="shared" si="44"/>
        <v>0.94691370875403358</v>
      </c>
      <c r="X472">
        <v>42.51</v>
      </c>
      <c r="Y472" s="3">
        <f t="shared" si="45"/>
        <v>0.8358238301219032</v>
      </c>
      <c r="Z472">
        <v>386.7</v>
      </c>
      <c r="AA472">
        <v>79.099999999999994</v>
      </c>
      <c r="AB472">
        <v>24.8</v>
      </c>
      <c r="AC472" t="s">
        <v>64</v>
      </c>
      <c r="AE472" t="s">
        <v>65</v>
      </c>
      <c r="AF472" t="s">
        <v>66</v>
      </c>
      <c r="AG472" s="2">
        <v>44238</v>
      </c>
      <c r="AH472" s="1">
        <v>0.53204861111111112</v>
      </c>
      <c r="AI472" t="s">
        <v>68</v>
      </c>
      <c r="AJ472" t="s">
        <v>69</v>
      </c>
      <c r="AO472">
        <v>7.6890000000000001</v>
      </c>
      <c r="AP472">
        <v>52.206000000000003</v>
      </c>
      <c r="AQ472">
        <v>8</v>
      </c>
      <c r="AR472">
        <v>1.915</v>
      </c>
      <c r="AS472">
        <v>47.851999999999997</v>
      </c>
      <c r="AT472">
        <v>40</v>
      </c>
      <c r="AY472">
        <v>1.9</v>
      </c>
      <c r="AZ472" s="2">
        <v>44238</v>
      </c>
      <c r="BB472" s="2">
        <v>44238</v>
      </c>
      <c r="BD472" t="s">
        <v>68</v>
      </c>
      <c r="BE472" t="s">
        <v>2046</v>
      </c>
      <c r="BF472" t="s">
        <v>2047</v>
      </c>
      <c r="BG472" t="s">
        <v>2048</v>
      </c>
      <c r="BH472">
        <v>0</v>
      </c>
      <c r="BI472">
        <v>0</v>
      </c>
      <c r="BJ472">
        <v>1</v>
      </c>
      <c r="BK472" t="s">
        <v>2049</v>
      </c>
      <c r="BL472">
        <v>8.8620000000000001</v>
      </c>
      <c r="BM472">
        <v>8.8620000000000001</v>
      </c>
      <c r="BN472" t="s">
        <v>2033</v>
      </c>
      <c r="BO472" s="1">
        <v>0.59261574074074075</v>
      </c>
      <c r="BP472" s="3">
        <f t="shared" si="46"/>
        <v>0.98817137300367808</v>
      </c>
      <c r="BQ472" s="3">
        <f t="shared" si="47"/>
        <v>1.0073254179063504</v>
      </c>
    </row>
    <row r="473" spans="1:69" hidden="1" x14ac:dyDescent="0.35">
      <c r="A473">
        <v>471</v>
      </c>
      <c r="B473">
        <v>4856</v>
      </c>
      <c r="D473">
        <v>32</v>
      </c>
      <c r="E473">
        <v>2</v>
      </c>
      <c r="G473">
        <v>19793.8</v>
      </c>
      <c r="I473" t="s">
        <v>62</v>
      </c>
      <c r="L473" t="s">
        <v>183</v>
      </c>
      <c r="M473">
        <v>9.82</v>
      </c>
      <c r="N473">
        <v>51.1</v>
      </c>
      <c r="O473">
        <v>9.41</v>
      </c>
      <c r="P473" s="3">
        <f t="shared" si="42"/>
        <v>0.9582484725050916</v>
      </c>
      <c r="Q473">
        <v>42.4</v>
      </c>
      <c r="R473" s="3">
        <f t="shared" si="43"/>
        <v>0.82974559686888449</v>
      </c>
      <c r="S473">
        <v>400</v>
      </c>
      <c r="T473">
        <v>9.6219999999999999</v>
      </c>
      <c r="U473">
        <v>50.83</v>
      </c>
      <c r="V473">
        <v>9.1010000000000009</v>
      </c>
      <c r="W473" s="3">
        <f t="shared" si="44"/>
        <v>0.94585325296196232</v>
      </c>
      <c r="X473">
        <v>42.26</v>
      </c>
      <c r="Y473" s="3">
        <f t="shared" si="45"/>
        <v>0.83139878024788505</v>
      </c>
      <c r="Z473">
        <v>384.6</v>
      </c>
      <c r="AA473">
        <v>78.599999999999994</v>
      </c>
      <c r="AB473">
        <v>24.6</v>
      </c>
      <c r="AC473" t="s">
        <v>64</v>
      </c>
      <c r="AE473" t="s">
        <v>65</v>
      </c>
      <c r="AF473" t="s">
        <v>66</v>
      </c>
      <c r="AG473" s="2">
        <v>44238</v>
      </c>
      <c r="AH473" s="1">
        <v>0.52792824074074074</v>
      </c>
      <c r="AI473" t="s">
        <v>68</v>
      </c>
      <c r="AJ473" t="s">
        <v>69</v>
      </c>
      <c r="AO473">
        <v>7.6890000000000001</v>
      </c>
      <c r="AP473">
        <v>52.243000000000002</v>
      </c>
      <c r="AQ473">
        <v>8</v>
      </c>
      <c r="AR473">
        <v>1.92</v>
      </c>
      <c r="AS473">
        <v>47.851999999999997</v>
      </c>
      <c r="AT473">
        <v>40</v>
      </c>
      <c r="AY473">
        <v>1.9</v>
      </c>
      <c r="AZ473" s="2">
        <v>44238</v>
      </c>
      <c r="BB473" s="2">
        <v>44238</v>
      </c>
      <c r="BD473" t="s">
        <v>68</v>
      </c>
      <c r="BE473" t="s">
        <v>2050</v>
      </c>
      <c r="BF473" t="s">
        <v>2051</v>
      </c>
      <c r="BG473" t="s">
        <v>2052</v>
      </c>
      <c r="BH473">
        <v>0</v>
      </c>
      <c r="BI473">
        <v>0</v>
      </c>
      <c r="BJ473">
        <v>1</v>
      </c>
      <c r="BK473" t="s">
        <v>2053</v>
      </c>
      <c r="BL473">
        <v>8.8620000000000001</v>
      </c>
      <c r="BM473">
        <v>8.8620000000000001</v>
      </c>
      <c r="BN473" s="2">
        <v>44238</v>
      </c>
      <c r="BO473" s="1">
        <v>0.52792824074074074</v>
      </c>
      <c r="BP473" s="3">
        <f t="shared" si="46"/>
        <v>0.9870647124427705</v>
      </c>
      <c r="BQ473" s="3">
        <f t="shared" si="47"/>
        <v>1.001992397893088</v>
      </c>
    </row>
    <row r="474" spans="1:69" hidden="1" x14ac:dyDescent="0.35">
      <c r="A474">
        <v>472</v>
      </c>
      <c r="B474">
        <v>4855</v>
      </c>
      <c r="D474">
        <v>32</v>
      </c>
      <c r="E474">
        <v>2</v>
      </c>
      <c r="G474">
        <v>19793.8</v>
      </c>
      <c r="I474" t="s">
        <v>62</v>
      </c>
      <c r="L474" t="s">
        <v>183</v>
      </c>
      <c r="M474">
        <v>9.82</v>
      </c>
      <c r="N474">
        <v>51.1</v>
      </c>
      <c r="O474">
        <v>9.41</v>
      </c>
      <c r="P474" s="3">
        <f t="shared" si="42"/>
        <v>0.9582484725050916</v>
      </c>
      <c r="Q474">
        <v>42.4</v>
      </c>
      <c r="R474" s="3">
        <f t="shared" si="43"/>
        <v>0.82974559686888449</v>
      </c>
      <c r="S474">
        <v>400</v>
      </c>
      <c r="T474">
        <v>9.6270000000000007</v>
      </c>
      <c r="U474">
        <v>51</v>
      </c>
      <c r="V474">
        <v>9.0830000000000002</v>
      </c>
      <c r="W474" s="3">
        <f t="shared" si="44"/>
        <v>0.94349226134829123</v>
      </c>
      <c r="X474">
        <v>42.49</v>
      </c>
      <c r="Y474" s="3">
        <f t="shared" si="45"/>
        <v>0.83313725490196078</v>
      </c>
      <c r="Z474">
        <v>386</v>
      </c>
      <c r="AA474">
        <v>78.599999999999994</v>
      </c>
      <c r="AB474">
        <v>24.8</v>
      </c>
      <c r="AC474" t="s">
        <v>64</v>
      </c>
      <c r="AE474" t="s">
        <v>65</v>
      </c>
      <c r="AF474" t="s">
        <v>66</v>
      </c>
      <c r="AG474" s="2">
        <v>44238</v>
      </c>
      <c r="AH474" s="1">
        <v>0.52707175925925931</v>
      </c>
      <c r="AI474" t="s">
        <v>68</v>
      </c>
      <c r="AJ474" t="s">
        <v>69</v>
      </c>
      <c r="AO474">
        <v>7.694</v>
      </c>
      <c r="AP474">
        <v>52.430999999999997</v>
      </c>
      <c r="AQ474">
        <v>8</v>
      </c>
      <c r="AR474">
        <v>1.915</v>
      </c>
      <c r="AS474">
        <v>47.927</v>
      </c>
      <c r="AT474">
        <v>40</v>
      </c>
      <c r="AY474">
        <v>1.9</v>
      </c>
      <c r="AZ474" s="2">
        <v>44238</v>
      </c>
      <c r="BB474" s="2">
        <v>44238</v>
      </c>
      <c r="BD474" t="s">
        <v>68</v>
      </c>
      <c r="BE474" t="s">
        <v>2054</v>
      </c>
      <c r="BF474" t="s">
        <v>2055</v>
      </c>
      <c r="BG474" t="s">
        <v>2056</v>
      </c>
      <c r="BH474">
        <v>0</v>
      </c>
      <c r="BI474">
        <v>0</v>
      </c>
      <c r="BJ474">
        <v>1</v>
      </c>
      <c r="BK474" t="s">
        <v>2057</v>
      </c>
      <c r="BL474">
        <v>8.8620000000000001</v>
      </c>
      <c r="BM474">
        <v>8.8620000000000001</v>
      </c>
      <c r="BN474" s="2">
        <v>44238</v>
      </c>
      <c r="BO474" s="1">
        <v>0.52707175925925931</v>
      </c>
      <c r="BP474" s="3">
        <f t="shared" si="46"/>
        <v>0.98460085084380666</v>
      </c>
      <c r="BQ474" s="3">
        <f t="shared" si="47"/>
        <v>1.0040875878653348</v>
      </c>
    </row>
    <row r="475" spans="1:69" hidden="1" x14ac:dyDescent="0.35">
      <c r="A475">
        <v>473</v>
      </c>
      <c r="B475">
        <v>4857</v>
      </c>
      <c r="D475">
        <v>32</v>
      </c>
      <c r="E475">
        <v>2</v>
      </c>
      <c r="G475">
        <v>19793.8</v>
      </c>
      <c r="I475" t="s">
        <v>62</v>
      </c>
      <c r="L475" t="s">
        <v>183</v>
      </c>
      <c r="M475">
        <v>9.82</v>
      </c>
      <c r="N475">
        <v>51.1</v>
      </c>
      <c r="O475">
        <v>9.41</v>
      </c>
      <c r="P475" s="3">
        <f t="shared" si="42"/>
        <v>0.9582484725050916</v>
      </c>
      <c r="Q475">
        <v>42.4</v>
      </c>
      <c r="R475" s="3">
        <f t="shared" si="43"/>
        <v>0.82974559686888449</v>
      </c>
      <c r="S475">
        <v>400</v>
      </c>
      <c r="T475">
        <v>9.6050000000000004</v>
      </c>
      <c r="U475">
        <v>50.88</v>
      </c>
      <c r="V475">
        <v>9.0820000000000007</v>
      </c>
      <c r="W475" s="3">
        <f t="shared" si="44"/>
        <v>0.94554919312857888</v>
      </c>
      <c r="X475">
        <v>42.46</v>
      </c>
      <c r="Y475" s="3">
        <f t="shared" si="45"/>
        <v>0.8345125786163522</v>
      </c>
      <c r="Z475">
        <v>385.6</v>
      </c>
      <c r="AA475">
        <v>78.900000000000006</v>
      </c>
      <c r="AB475">
        <v>24.6</v>
      </c>
      <c r="AC475" t="s">
        <v>64</v>
      </c>
      <c r="AE475" t="s">
        <v>65</v>
      </c>
      <c r="AF475" t="s">
        <v>66</v>
      </c>
      <c r="AG475" s="2">
        <v>44238</v>
      </c>
      <c r="AH475" s="1">
        <v>0.52887731481481481</v>
      </c>
      <c r="AI475" t="s">
        <v>68</v>
      </c>
      <c r="AJ475" t="s">
        <v>69</v>
      </c>
      <c r="AO475">
        <v>7.694</v>
      </c>
      <c r="AP475">
        <v>51.718000000000004</v>
      </c>
      <c r="AQ475">
        <v>8</v>
      </c>
      <c r="AR475">
        <v>1.92</v>
      </c>
      <c r="AS475">
        <v>47.363999999999997</v>
      </c>
      <c r="AT475">
        <v>40</v>
      </c>
      <c r="AY475">
        <v>1.9</v>
      </c>
      <c r="AZ475" s="2">
        <v>44238</v>
      </c>
      <c r="BB475" s="2">
        <v>44238</v>
      </c>
      <c r="BD475" t="s">
        <v>68</v>
      </c>
      <c r="BE475" t="s">
        <v>2058</v>
      </c>
      <c r="BF475" t="s">
        <v>2059</v>
      </c>
      <c r="BG475" t="s">
        <v>2060</v>
      </c>
      <c r="BH475">
        <v>0</v>
      </c>
      <c r="BI475">
        <v>0</v>
      </c>
      <c r="BJ475">
        <v>1</v>
      </c>
      <c r="BK475" t="s">
        <v>2061</v>
      </c>
      <c r="BL475">
        <v>8.8620000000000001</v>
      </c>
      <c r="BM475">
        <v>8.8620000000000001</v>
      </c>
      <c r="BN475" s="2">
        <v>44238</v>
      </c>
      <c r="BO475" s="1">
        <v>0.52887731481481481</v>
      </c>
      <c r="BP475" s="3">
        <f t="shared" si="46"/>
        <v>0.98674740451887832</v>
      </c>
      <c r="BQ475" s="3">
        <f t="shared" si="47"/>
        <v>1.0057451124362169</v>
      </c>
    </row>
    <row r="476" spans="1:69" hidden="1" x14ac:dyDescent="0.35">
      <c r="A476">
        <v>474</v>
      </c>
      <c r="B476">
        <v>4839</v>
      </c>
      <c r="D476">
        <v>32</v>
      </c>
      <c r="E476">
        <v>2</v>
      </c>
      <c r="G476">
        <v>19793.8</v>
      </c>
      <c r="I476" t="s">
        <v>62</v>
      </c>
      <c r="L476" t="s">
        <v>2028</v>
      </c>
      <c r="M476">
        <v>9.82</v>
      </c>
      <c r="N476">
        <v>51.1</v>
      </c>
      <c r="O476">
        <v>9.41</v>
      </c>
      <c r="P476" s="3">
        <f t="shared" si="42"/>
        <v>0.9582484725050916</v>
      </c>
      <c r="Q476">
        <v>42.4</v>
      </c>
      <c r="R476" s="3">
        <f t="shared" si="43"/>
        <v>0.82974559686888449</v>
      </c>
      <c r="S476">
        <v>400</v>
      </c>
      <c r="T476">
        <v>9.625</v>
      </c>
      <c r="U476">
        <v>50.82</v>
      </c>
      <c r="V476">
        <v>9.0860000000000003</v>
      </c>
      <c r="W476" s="3">
        <f t="shared" si="44"/>
        <v>0.94400000000000006</v>
      </c>
      <c r="X476">
        <v>42.37</v>
      </c>
      <c r="Y476" s="3">
        <f t="shared" si="45"/>
        <v>0.83372687918142463</v>
      </c>
      <c r="Z476">
        <v>385</v>
      </c>
      <c r="AA476">
        <v>78.7</v>
      </c>
      <c r="AB476">
        <v>25.3</v>
      </c>
      <c r="AC476" t="s">
        <v>64</v>
      </c>
      <c r="AE476" t="s">
        <v>65</v>
      </c>
      <c r="AF476" t="s">
        <v>66</v>
      </c>
      <c r="AG476" s="2">
        <v>44238</v>
      </c>
      <c r="AH476" s="1">
        <v>0.5103819444444444</v>
      </c>
      <c r="AI476" t="s">
        <v>68</v>
      </c>
      <c r="AJ476" t="s">
        <v>69</v>
      </c>
      <c r="AO476">
        <v>7.6890000000000001</v>
      </c>
      <c r="AP476">
        <v>52.280999999999999</v>
      </c>
      <c r="AQ476">
        <v>8</v>
      </c>
      <c r="AR476">
        <v>1.925</v>
      </c>
      <c r="AS476">
        <v>47.814</v>
      </c>
      <c r="AT476">
        <v>40</v>
      </c>
      <c r="AY476">
        <v>1.9</v>
      </c>
      <c r="AZ476" s="2">
        <v>44266</v>
      </c>
      <c r="BB476" s="2">
        <v>44266</v>
      </c>
      <c r="BD476" t="s">
        <v>68</v>
      </c>
      <c r="BE476" t="s">
        <v>2062</v>
      </c>
      <c r="BF476" t="s">
        <v>2063</v>
      </c>
      <c r="BG476" t="s">
        <v>2064</v>
      </c>
      <c r="BH476">
        <v>0</v>
      </c>
      <c r="BI476">
        <v>0</v>
      </c>
      <c r="BJ476">
        <v>1</v>
      </c>
      <c r="BK476" t="s">
        <v>2065</v>
      </c>
      <c r="BL476">
        <v>8.8620000000000001</v>
      </c>
      <c r="BM476">
        <v>8.8620000000000001</v>
      </c>
      <c r="BN476" t="s">
        <v>2033</v>
      </c>
      <c r="BO476" s="1">
        <v>0.59348379629629633</v>
      </c>
      <c r="BP476" s="3">
        <f t="shared" si="46"/>
        <v>0.98513071200850166</v>
      </c>
      <c r="BQ476" s="3">
        <f t="shared" si="47"/>
        <v>1.0047981963719528</v>
      </c>
    </row>
    <row r="477" spans="1:69" hidden="1" x14ac:dyDescent="0.35">
      <c r="A477">
        <v>475</v>
      </c>
      <c r="B477">
        <v>4841</v>
      </c>
      <c r="D477">
        <v>32</v>
      </c>
      <c r="E477">
        <v>2</v>
      </c>
      <c r="G477">
        <v>19793.8</v>
      </c>
      <c r="I477" t="s">
        <v>62</v>
      </c>
      <c r="L477" t="s">
        <v>2028</v>
      </c>
      <c r="M477">
        <v>9.82</v>
      </c>
      <c r="N477">
        <v>51.1</v>
      </c>
      <c r="O477">
        <v>9.41</v>
      </c>
      <c r="P477" s="3">
        <f t="shared" si="42"/>
        <v>0.9582484725050916</v>
      </c>
      <c r="Q477">
        <v>42.4</v>
      </c>
      <c r="R477" s="3">
        <f t="shared" si="43"/>
        <v>0.82974559686888449</v>
      </c>
      <c r="S477">
        <v>400</v>
      </c>
      <c r="T477">
        <v>9.6110000000000007</v>
      </c>
      <c r="U477">
        <v>50.86</v>
      </c>
      <c r="V477">
        <v>9.0719999999999992</v>
      </c>
      <c r="W477" s="3">
        <f t="shared" si="44"/>
        <v>0.94391842680262183</v>
      </c>
      <c r="X477">
        <v>42.3</v>
      </c>
      <c r="Y477" s="3">
        <f t="shared" si="45"/>
        <v>0.83169484860401099</v>
      </c>
      <c r="Z477">
        <v>383.8</v>
      </c>
      <c r="AA477">
        <v>78.5</v>
      </c>
      <c r="AB477">
        <v>25.1</v>
      </c>
      <c r="AC477" t="s">
        <v>64</v>
      </c>
      <c r="AE477" t="s">
        <v>65</v>
      </c>
      <c r="AF477" t="s">
        <v>66</v>
      </c>
      <c r="AG477" s="2">
        <v>44238</v>
      </c>
      <c r="AH477" s="1">
        <v>0.50888888888888884</v>
      </c>
      <c r="AI477" t="s">
        <v>68</v>
      </c>
      <c r="AJ477" t="s">
        <v>69</v>
      </c>
      <c r="AO477">
        <v>7.694</v>
      </c>
      <c r="AP477">
        <v>52.356000000000002</v>
      </c>
      <c r="AQ477">
        <v>8</v>
      </c>
      <c r="AR477">
        <v>1.915</v>
      </c>
      <c r="AS477">
        <v>47.963999999999999</v>
      </c>
      <c r="AT477">
        <v>40</v>
      </c>
      <c r="AY477">
        <v>1.9</v>
      </c>
      <c r="AZ477" s="2">
        <v>44266</v>
      </c>
      <c r="BB477" s="2">
        <v>44266</v>
      </c>
      <c r="BD477" t="s">
        <v>68</v>
      </c>
      <c r="BE477" t="s">
        <v>2066</v>
      </c>
      <c r="BF477" t="s">
        <v>2067</v>
      </c>
      <c r="BG477" t="s">
        <v>2068</v>
      </c>
      <c r="BH477">
        <v>0</v>
      </c>
      <c r="BI477">
        <v>0</v>
      </c>
      <c r="BJ477">
        <v>1</v>
      </c>
      <c r="BK477" t="s">
        <v>2069</v>
      </c>
      <c r="BL477">
        <v>8.8620000000000001</v>
      </c>
      <c r="BM477">
        <v>8.8620000000000001</v>
      </c>
      <c r="BN477" t="s">
        <v>2033</v>
      </c>
      <c r="BO477" s="1">
        <v>0.57395833333333335</v>
      </c>
      <c r="BP477" s="3">
        <f t="shared" si="46"/>
        <v>0.98504558461230041</v>
      </c>
      <c r="BQ477" s="3">
        <f t="shared" si="47"/>
        <v>1.0023492161241736</v>
      </c>
    </row>
    <row r="478" spans="1:69" hidden="1" x14ac:dyDescent="0.35">
      <c r="A478">
        <v>476</v>
      </c>
      <c r="B478">
        <v>4846</v>
      </c>
      <c r="D478">
        <v>32</v>
      </c>
      <c r="E478">
        <v>2</v>
      </c>
      <c r="G478">
        <v>19793.8</v>
      </c>
      <c r="I478" t="s">
        <v>62</v>
      </c>
      <c r="L478" t="s">
        <v>183</v>
      </c>
      <c r="M478">
        <v>9.82</v>
      </c>
      <c r="N478">
        <v>51.1</v>
      </c>
      <c r="O478">
        <v>9.41</v>
      </c>
      <c r="P478" s="3">
        <f t="shared" si="42"/>
        <v>0.9582484725050916</v>
      </c>
      <c r="Q478">
        <v>42.4</v>
      </c>
      <c r="R478" s="3">
        <f t="shared" si="43"/>
        <v>0.82974559686888449</v>
      </c>
      <c r="S478">
        <v>400</v>
      </c>
      <c r="T478">
        <v>9.6189999999999998</v>
      </c>
      <c r="U478">
        <v>50.91</v>
      </c>
      <c r="V478">
        <v>9.0790000000000006</v>
      </c>
      <c r="W478" s="3">
        <f t="shared" si="44"/>
        <v>0.94386110822330815</v>
      </c>
      <c r="X478">
        <v>42.27</v>
      </c>
      <c r="Y478" s="3">
        <f t="shared" si="45"/>
        <v>0.83028874484384219</v>
      </c>
      <c r="Z478">
        <v>383.7</v>
      </c>
      <c r="AA478">
        <v>78.400000000000006</v>
      </c>
      <c r="AB478">
        <v>25.2</v>
      </c>
      <c r="AC478" t="s">
        <v>64</v>
      </c>
      <c r="AE478" t="s">
        <v>65</v>
      </c>
      <c r="AF478" t="s">
        <v>66</v>
      </c>
      <c r="AG478" s="2">
        <v>44238</v>
      </c>
      <c r="AH478" s="1">
        <v>0.51701388888888888</v>
      </c>
      <c r="AI478" t="s">
        <v>68</v>
      </c>
      <c r="AJ478" t="s">
        <v>69</v>
      </c>
      <c r="AO478">
        <v>7.6890000000000001</v>
      </c>
      <c r="AP478">
        <v>52.393000000000001</v>
      </c>
      <c r="AQ478">
        <v>8</v>
      </c>
      <c r="AR478">
        <v>1.92</v>
      </c>
      <c r="AS478">
        <v>48.039000000000001</v>
      </c>
      <c r="AT478">
        <v>40</v>
      </c>
      <c r="AY478">
        <v>1.9</v>
      </c>
      <c r="AZ478" s="2">
        <v>44266</v>
      </c>
      <c r="BB478" s="2">
        <v>44266</v>
      </c>
      <c r="BD478" t="s">
        <v>68</v>
      </c>
      <c r="BE478" t="s">
        <v>2070</v>
      </c>
      <c r="BF478" t="s">
        <v>2071</v>
      </c>
      <c r="BG478" t="s">
        <v>2072</v>
      </c>
      <c r="BH478">
        <v>0</v>
      </c>
      <c r="BI478">
        <v>0</v>
      </c>
      <c r="BJ478">
        <v>1</v>
      </c>
      <c r="BK478" t="s">
        <v>2073</v>
      </c>
      <c r="BL478">
        <v>8.8620000000000001</v>
      </c>
      <c r="BM478">
        <v>8.8620000000000001</v>
      </c>
      <c r="BN478" s="2">
        <v>44238</v>
      </c>
      <c r="BO478" s="1">
        <v>0.51701388888888888</v>
      </c>
      <c r="BP478" s="3">
        <f t="shared" si="46"/>
        <v>0.98498576862411125</v>
      </c>
      <c r="BQ478" s="3">
        <f t="shared" si="47"/>
        <v>1.0006545957905739</v>
      </c>
    </row>
    <row r="479" spans="1:69" hidden="1" x14ac:dyDescent="0.35">
      <c r="A479">
        <v>477</v>
      </c>
      <c r="B479">
        <v>4848</v>
      </c>
      <c r="D479">
        <v>32</v>
      </c>
      <c r="E479">
        <v>2</v>
      </c>
      <c r="G479">
        <v>19793.8</v>
      </c>
      <c r="I479" t="s">
        <v>62</v>
      </c>
      <c r="L479" t="s">
        <v>183</v>
      </c>
      <c r="M479">
        <v>9.82</v>
      </c>
      <c r="N479">
        <v>51.1</v>
      </c>
      <c r="O479">
        <v>9.41</v>
      </c>
      <c r="P479" s="3">
        <f t="shared" si="42"/>
        <v>0.9582484725050916</v>
      </c>
      <c r="Q479">
        <v>42.4</v>
      </c>
      <c r="R479" s="3">
        <f t="shared" si="43"/>
        <v>0.82974559686888449</v>
      </c>
      <c r="S479">
        <v>400</v>
      </c>
      <c r="T479">
        <v>9.61</v>
      </c>
      <c r="U479">
        <v>50.82</v>
      </c>
      <c r="V479">
        <v>9.0749999999999993</v>
      </c>
      <c r="W479" s="3">
        <f t="shared" si="44"/>
        <v>0.9443288241415192</v>
      </c>
      <c r="X479">
        <v>42.48</v>
      </c>
      <c r="Y479" s="3">
        <f t="shared" si="45"/>
        <v>0.83589138134592678</v>
      </c>
      <c r="Z479">
        <v>385.6</v>
      </c>
      <c r="AA479">
        <v>78.900000000000006</v>
      </c>
      <c r="AB479">
        <v>25.3</v>
      </c>
      <c r="AC479" t="s">
        <v>64</v>
      </c>
      <c r="AE479" t="s">
        <v>65</v>
      </c>
      <c r="AF479" t="s">
        <v>66</v>
      </c>
      <c r="AG479" s="2">
        <v>44238</v>
      </c>
      <c r="AH479" s="1">
        <v>0.52103009259259259</v>
      </c>
      <c r="AI479" t="s">
        <v>68</v>
      </c>
      <c r="AJ479" t="s">
        <v>69</v>
      </c>
      <c r="AO479">
        <v>7.6890000000000001</v>
      </c>
      <c r="AP479">
        <v>52.167999999999999</v>
      </c>
      <c r="AQ479">
        <v>8</v>
      </c>
      <c r="AR479">
        <v>1.92</v>
      </c>
      <c r="AS479">
        <v>47.889000000000003</v>
      </c>
      <c r="AT479">
        <v>40</v>
      </c>
      <c r="AY479">
        <v>1.9</v>
      </c>
      <c r="AZ479" s="2">
        <v>44266</v>
      </c>
      <c r="BB479" s="2">
        <v>44266</v>
      </c>
      <c r="BD479" t="s">
        <v>68</v>
      </c>
      <c r="BE479" t="s">
        <v>2074</v>
      </c>
      <c r="BF479" t="s">
        <v>2075</v>
      </c>
      <c r="BG479" t="s">
        <v>2076</v>
      </c>
      <c r="BH479">
        <v>0</v>
      </c>
      <c r="BI479">
        <v>0</v>
      </c>
      <c r="BJ479">
        <v>1</v>
      </c>
      <c r="BK479" t="s">
        <v>2077</v>
      </c>
      <c r="BL479">
        <v>8.8620000000000001</v>
      </c>
      <c r="BM479">
        <v>8.8620000000000001</v>
      </c>
      <c r="BN479" s="2">
        <v>44238</v>
      </c>
      <c r="BO479" s="1">
        <v>0.52103009259259259</v>
      </c>
      <c r="BP479" s="3">
        <f t="shared" si="46"/>
        <v>0.98547386323801478</v>
      </c>
      <c r="BQ479" s="3">
        <f t="shared" si="47"/>
        <v>1.0074068298768128</v>
      </c>
    </row>
    <row r="480" spans="1:69" hidden="1" x14ac:dyDescent="0.35">
      <c r="A480">
        <v>478</v>
      </c>
      <c r="B480">
        <v>4854</v>
      </c>
      <c r="D480">
        <v>32</v>
      </c>
      <c r="E480">
        <v>2</v>
      </c>
      <c r="G480">
        <v>19793.8</v>
      </c>
      <c r="I480" t="s">
        <v>62</v>
      </c>
      <c r="L480" t="s">
        <v>183</v>
      </c>
      <c r="M480">
        <v>9.82</v>
      </c>
      <c r="N480">
        <v>51.1</v>
      </c>
      <c r="O480">
        <v>9.41</v>
      </c>
      <c r="P480" s="3">
        <f t="shared" si="42"/>
        <v>0.9582484725050916</v>
      </c>
      <c r="Q480">
        <v>42.4</v>
      </c>
      <c r="R480" s="3">
        <f t="shared" si="43"/>
        <v>0.82974559686888449</v>
      </c>
      <c r="S480">
        <v>400</v>
      </c>
      <c r="T480">
        <v>9.6159999999999997</v>
      </c>
      <c r="U480">
        <v>50.84</v>
      </c>
      <c r="V480">
        <v>9.09</v>
      </c>
      <c r="W480" s="3">
        <f t="shared" si="44"/>
        <v>0.9452995008319468</v>
      </c>
      <c r="X480">
        <v>42.42</v>
      </c>
      <c r="Y480" s="3">
        <f t="shared" si="45"/>
        <v>0.83438237608182531</v>
      </c>
      <c r="Z480">
        <v>385.6</v>
      </c>
      <c r="AA480">
        <v>78.900000000000006</v>
      </c>
      <c r="AB480">
        <v>24.8</v>
      </c>
      <c r="AC480" t="s">
        <v>64</v>
      </c>
      <c r="AE480" t="s">
        <v>65</v>
      </c>
      <c r="AF480" t="s">
        <v>66</v>
      </c>
      <c r="AG480" s="2">
        <v>44238</v>
      </c>
      <c r="AH480" s="1">
        <v>0.5258680555555556</v>
      </c>
      <c r="AI480" t="s">
        <v>68</v>
      </c>
      <c r="AJ480" t="s">
        <v>69</v>
      </c>
      <c r="AO480">
        <v>7.6890000000000001</v>
      </c>
      <c r="AP480">
        <v>52.13</v>
      </c>
      <c r="AQ480">
        <v>8</v>
      </c>
      <c r="AR480">
        <v>1.92</v>
      </c>
      <c r="AS480">
        <v>47.889000000000003</v>
      </c>
      <c r="AT480">
        <v>40</v>
      </c>
      <c r="AY480">
        <v>1.9</v>
      </c>
      <c r="AZ480" s="2">
        <v>44238</v>
      </c>
      <c r="BB480" s="2">
        <v>44238</v>
      </c>
      <c r="BD480" t="s">
        <v>68</v>
      </c>
      <c r="BE480" t="s">
        <v>2078</v>
      </c>
      <c r="BF480" t="s">
        <v>2079</v>
      </c>
      <c r="BG480" t="s">
        <v>2080</v>
      </c>
      <c r="BH480">
        <v>0</v>
      </c>
      <c r="BI480">
        <v>0</v>
      </c>
      <c r="BJ480">
        <v>1</v>
      </c>
      <c r="BK480" t="s">
        <v>2081</v>
      </c>
      <c r="BL480">
        <v>8.8620000000000001</v>
      </c>
      <c r="BM480">
        <v>8.8620000000000001</v>
      </c>
      <c r="BN480" s="2">
        <v>44238</v>
      </c>
      <c r="BO480" s="1">
        <v>0.5258680555555556</v>
      </c>
      <c r="BP480" s="3">
        <f t="shared" si="46"/>
        <v>0.98648683296171291</v>
      </c>
      <c r="BQ480" s="3">
        <f t="shared" si="47"/>
        <v>1.0055881938155962</v>
      </c>
    </row>
    <row r="481" spans="1:69" hidden="1" x14ac:dyDescent="0.35">
      <c r="A481">
        <v>479</v>
      </c>
      <c r="B481">
        <v>4843</v>
      </c>
      <c r="D481">
        <v>32</v>
      </c>
      <c r="E481">
        <v>2</v>
      </c>
      <c r="G481">
        <v>19793.8</v>
      </c>
      <c r="I481" t="s">
        <v>62</v>
      </c>
      <c r="L481" t="s">
        <v>2028</v>
      </c>
      <c r="M481">
        <v>9.82</v>
      </c>
      <c r="N481">
        <v>51.1</v>
      </c>
      <c r="O481">
        <v>9.41</v>
      </c>
      <c r="P481" s="3">
        <f t="shared" si="42"/>
        <v>0.9582484725050916</v>
      </c>
      <c r="Q481">
        <v>42.4</v>
      </c>
      <c r="R481" s="3">
        <f t="shared" si="43"/>
        <v>0.82974559686888449</v>
      </c>
      <c r="S481">
        <v>400</v>
      </c>
      <c r="T481">
        <v>9.6280000000000001</v>
      </c>
      <c r="U481">
        <v>50.86</v>
      </c>
      <c r="V481">
        <v>9.0809999999999995</v>
      </c>
      <c r="W481" s="3">
        <f t="shared" si="44"/>
        <v>0.94318653926049023</v>
      </c>
      <c r="X481">
        <v>42.21</v>
      </c>
      <c r="Y481" s="3">
        <f t="shared" si="45"/>
        <v>0.82992528509634289</v>
      </c>
      <c r="Z481">
        <v>383.3</v>
      </c>
      <c r="AA481">
        <v>78.3</v>
      </c>
      <c r="AB481">
        <v>25.4</v>
      </c>
      <c r="AC481" t="s">
        <v>64</v>
      </c>
      <c r="AE481" t="s">
        <v>65</v>
      </c>
      <c r="AF481" t="s">
        <v>66</v>
      </c>
      <c r="AG481" s="2">
        <v>44238</v>
      </c>
      <c r="AH481" s="1">
        <v>0.50689814814814815</v>
      </c>
      <c r="AI481" t="s">
        <v>68</v>
      </c>
      <c r="AJ481" t="s">
        <v>69</v>
      </c>
      <c r="AO481">
        <v>7.6890000000000001</v>
      </c>
      <c r="AP481">
        <v>52.468000000000004</v>
      </c>
      <c r="AQ481">
        <v>8</v>
      </c>
      <c r="AR481">
        <v>1.92</v>
      </c>
      <c r="AS481">
        <v>47.927</v>
      </c>
      <c r="AT481">
        <v>40</v>
      </c>
      <c r="AY481">
        <v>1.9</v>
      </c>
      <c r="AZ481" s="2">
        <v>44266</v>
      </c>
      <c r="BB481" s="2">
        <v>44266</v>
      </c>
      <c r="BD481" t="s">
        <v>68</v>
      </c>
      <c r="BE481" t="s">
        <v>2082</v>
      </c>
      <c r="BF481" t="s">
        <v>2083</v>
      </c>
      <c r="BG481" t="s">
        <v>2084</v>
      </c>
      <c r="BH481">
        <v>0</v>
      </c>
      <c r="BI481">
        <v>0</v>
      </c>
      <c r="BJ481">
        <v>1</v>
      </c>
      <c r="BK481" t="s">
        <v>2085</v>
      </c>
      <c r="BL481">
        <v>8.8620000000000001</v>
      </c>
      <c r="BM481">
        <v>8.8620000000000001</v>
      </c>
      <c r="BN481" t="s">
        <v>2033</v>
      </c>
      <c r="BO481" s="1">
        <v>0.5791087962962963</v>
      </c>
      <c r="BP481" s="3">
        <f t="shared" si="46"/>
        <v>0.98428180823995903</v>
      </c>
      <c r="BQ481" s="3">
        <f t="shared" si="47"/>
        <v>1.0002165582175264</v>
      </c>
    </row>
    <row r="482" spans="1:69" hidden="1" x14ac:dyDescent="0.35">
      <c r="A482">
        <v>480</v>
      </c>
      <c r="B482">
        <v>4840</v>
      </c>
      <c r="D482">
        <v>32</v>
      </c>
      <c r="E482">
        <v>2</v>
      </c>
      <c r="G482">
        <v>19793.8</v>
      </c>
      <c r="I482" t="s">
        <v>62</v>
      </c>
      <c r="L482" t="s">
        <v>2028</v>
      </c>
      <c r="M482">
        <v>9.82</v>
      </c>
      <c r="N482">
        <v>51.1</v>
      </c>
      <c r="O482">
        <v>9.41</v>
      </c>
      <c r="P482" s="3">
        <f t="shared" si="42"/>
        <v>0.9582484725050916</v>
      </c>
      <c r="Q482">
        <v>42.4</v>
      </c>
      <c r="R482" s="3">
        <f t="shared" si="43"/>
        <v>0.82974559686888449</v>
      </c>
      <c r="S482">
        <v>400</v>
      </c>
      <c r="T482">
        <v>9.6039999999999992</v>
      </c>
      <c r="U482">
        <v>50.87</v>
      </c>
      <c r="V482">
        <v>9.093</v>
      </c>
      <c r="W482" s="3">
        <f t="shared" si="44"/>
        <v>0.94679300291545199</v>
      </c>
      <c r="X482">
        <v>42.36</v>
      </c>
      <c r="Y482" s="3">
        <f t="shared" si="45"/>
        <v>0.8327108315313545</v>
      </c>
      <c r="Z482">
        <v>385.2</v>
      </c>
      <c r="AA482">
        <v>78.8</v>
      </c>
      <c r="AB482">
        <v>24.7</v>
      </c>
      <c r="AC482" t="s">
        <v>64</v>
      </c>
      <c r="AE482" t="s">
        <v>65</v>
      </c>
      <c r="AF482" t="s">
        <v>66</v>
      </c>
      <c r="AG482" s="2">
        <v>44238</v>
      </c>
      <c r="AH482" s="1">
        <v>0.53125</v>
      </c>
      <c r="AI482" t="s">
        <v>68</v>
      </c>
      <c r="AJ482" t="s">
        <v>69</v>
      </c>
      <c r="AO482">
        <v>7.6890000000000001</v>
      </c>
      <c r="AP482">
        <v>52.317999999999998</v>
      </c>
      <c r="AQ482">
        <v>8</v>
      </c>
      <c r="AR482">
        <v>1.92</v>
      </c>
      <c r="AS482">
        <v>47.927</v>
      </c>
      <c r="AT482">
        <v>40</v>
      </c>
      <c r="AY482">
        <v>1.9</v>
      </c>
      <c r="AZ482" s="2">
        <v>44238</v>
      </c>
      <c r="BB482" s="2">
        <v>44238</v>
      </c>
      <c r="BD482" t="s">
        <v>68</v>
      </c>
      <c r="BE482" t="s">
        <v>2086</v>
      </c>
      <c r="BF482" t="s">
        <v>2087</v>
      </c>
      <c r="BG482" t="s">
        <v>2088</v>
      </c>
      <c r="BH482">
        <v>0</v>
      </c>
      <c r="BI482">
        <v>0</v>
      </c>
      <c r="BJ482">
        <v>1</v>
      </c>
      <c r="BK482" t="s">
        <v>2089</v>
      </c>
      <c r="BL482">
        <v>8.8620000000000001</v>
      </c>
      <c r="BM482">
        <v>8.8620000000000001</v>
      </c>
      <c r="BN482" t="s">
        <v>2033</v>
      </c>
      <c r="BO482" s="1">
        <v>0.59436342592592595</v>
      </c>
      <c r="BP482" s="3">
        <f t="shared" si="46"/>
        <v>0.98804540793089679</v>
      </c>
      <c r="BQ482" s="3">
        <f t="shared" si="47"/>
        <v>1.0035736672465145</v>
      </c>
    </row>
    <row r="483" spans="1:69" hidden="1" x14ac:dyDescent="0.35">
      <c r="A483">
        <v>481</v>
      </c>
      <c r="B483">
        <v>4850</v>
      </c>
      <c r="D483">
        <v>32</v>
      </c>
      <c r="E483">
        <v>2</v>
      </c>
      <c r="G483">
        <v>19793.8</v>
      </c>
      <c r="I483" t="s">
        <v>62</v>
      </c>
      <c r="L483" t="s">
        <v>183</v>
      </c>
      <c r="M483">
        <v>9.82</v>
      </c>
      <c r="N483">
        <v>51.1</v>
      </c>
      <c r="O483">
        <v>9.41</v>
      </c>
      <c r="P483" s="3">
        <f t="shared" si="42"/>
        <v>0.9582484725050916</v>
      </c>
      <c r="Q483">
        <v>42.4</v>
      </c>
      <c r="R483" s="3">
        <f t="shared" si="43"/>
        <v>0.82974559686888449</v>
      </c>
      <c r="S483">
        <v>400</v>
      </c>
      <c r="T483">
        <v>9.6039999999999992</v>
      </c>
      <c r="U483">
        <v>50.75</v>
      </c>
      <c r="V483">
        <v>9.0749999999999993</v>
      </c>
      <c r="W483" s="3">
        <f t="shared" si="44"/>
        <v>0.94491878384006667</v>
      </c>
      <c r="X483">
        <v>42.4</v>
      </c>
      <c r="Y483" s="3">
        <f t="shared" si="45"/>
        <v>0.83546798029556646</v>
      </c>
      <c r="Z483">
        <v>384.8</v>
      </c>
      <c r="AA483">
        <v>79</v>
      </c>
      <c r="AB483">
        <v>25.3</v>
      </c>
      <c r="AC483" t="s">
        <v>64</v>
      </c>
      <c r="AE483" t="s">
        <v>65</v>
      </c>
      <c r="AF483" t="s">
        <v>66</v>
      </c>
      <c r="AG483" s="2">
        <v>44238</v>
      </c>
      <c r="AH483" s="1">
        <v>0.52335648148148151</v>
      </c>
      <c r="AI483" t="s">
        <v>68</v>
      </c>
      <c r="AJ483" t="s">
        <v>69</v>
      </c>
      <c r="AO483">
        <v>7.6890000000000001</v>
      </c>
      <c r="AP483">
        <v>52.206000000000003</v>
      </c>
      <c r="AQ483">
        <v>8</v>
      </c>
      <c r="AR483">
        <v>1.92</v>
      </c>
      <c r="AS483">
        <v>47.889000000000003</v>
      </c>
      <c r="AT483">
        <v>40</v>
      </c>
      <c r="AY483">
        <v>1.9</v>
      </c>
      <c r="AZ483" s="2">
        <v>44238</v>
      </c>
      <c r="BB483" s="2">
        <v>44238</v>
      </c>
      <c r="BD483" t="s">
        <v>68</v>
      </c>
      <c r="BE483" t="s">
        <v>2090</v>
      </c>
      <c r="BF483" t="s">
        <v>2091</v>
      </c>
      <c r="BG483" t="s">
        <v>2092</v>
      </c>
      <c r="BH483">
        <v>0</v>
      </c>
      <c r="BI483">
        <v>0</v>
      </c>
      <c r="BJ483">
        <v>1</v>
      </c>
      <c r="BK483" t="s">
        <v>2093</v>
      </c>
      <c r="BL483">
        <v>8.8620000000000001</v>
      </c>
      <c r="BM483">
        <v>8.8620000000000001</v>
      </c>
      <c r="BN483" s="2">
        <v>44238</v>
      </c>
      <c r="BO483" s="1">
        <v>0.52335648148148151</v>
      </c>
      <c r="BP483" s="3">
        <f t="shared" si="46"/>
        <v>0.98608952787560633</v>
      </c>
      <c r="BQ483" s="3">
        <f t="shared" si="47"/>
        <v>1.0068965517241379</v>
      </c>
    </row>
    <row r="484" spans="1:69" hidden="1" x14ac:dyDescent="0.35">
      <c r="A484">
        <v>482</v>
      </c>
      <c r="B484">
        <v>4831</v>
      </c>
      <c r="D484">
        <v>32</v>
      </c>
      <c r="E484">
        <v>2</v>
      </c>
      <c r="G484">
        <v>19793.8</v>
      </c>
      <c r="I484" t="s">
        <v>62</v>
      </c>
      <c r="L484" t="s">
        <v>2028</v>
      </c>
      <c r="M484">
        <v>9.82</v>
      </c>
      <c r="N484">
        <v>51.1</v>
      </c>
      <c r="O484">
        <v>9.41</v>
      </c>
      <c r="P484" s="3">
        <f t="shared" si="42"/>
        <v>0.9582484725050916</v>
      </c>
      <c r="Q484">
        <v>42.4</v>
      </c>
      <c r="R484" s="3">
        <f t="shared" si="43"/>
        <v>0.82974559686888449</v>
      </c>
      <c r="S484">
        <v>400</v>
      </c>
      <c r="T484">
        <v>9.6259999999999994</v>
      </c>
      <c r="U484">
        <v>50.96</v>
      </c>
      <c r="V484">
        <v>9.1050000000000004</v>
      </c>
      <c r="W484" s="3">
        <f t="shared" si="44"/>
        <v>0.94587575316850203</v>
      </c>
      <c r="X484">
        <v>42.71</v>
      </c>
      <c r="Y484" s="3">
        <f t="shared" si="45"/>
        <v>0.83810832025117743</v>
      </c>
      <c r="Z484">
        <v>388.9</v>
      </c>
      <c r="AA484">
        <v>79.3</v>
      </c>
      <c r="AB484">
        <v>24.7</v>
      </c>
      <c r="AC484" t="s">
        <v>64</v>
      </c>
      <c r="AE484" t="s">
        <v>65</v>
      </c>
      <c r="AF484" t="s">
        <v>66</v>
      </c>
      <c r="AG484" s="2">
        <v>44238</v>
      </c>
      <c r="AH484" s="1">
        <v>0.53369212962962964</v>
      </c>
      <c r="AI484" t="s">
        <v>68</v>
      </c>
      <c r="AJ484" t="s">
        <v>69</v>
      </c>
      <c r="AO484">
        <v>7.6890000000000001</v>
      </c>
      <c r="AP484">
        <v>52.206000000000003</v>
      </c>
      <c r="AQ484">
        <v>8</v>
      </c>
      <c r="AR484">
        <v>1.915</v>
      </c>
      <c r="AS484">
        <v>47.889000000000003</v>
      </c>
      <c r="AT484">
        <v>40</v>
      </c>
      <c r="AY484">
        <v>1.9</v>
      </c>
      <c r="AZ484" s="2">
        <v>44238</v>
      </c>
      <c r="BB484" s="2">
        <v>44238</v>
      </c>
      <c r="BD484" t="s">
        <v>68</v>
      </c>
      <c r="BE484" t="s">
        <v>2094</v>
      </c>
      <c r="BF484" t="s">
        <v>2095</v>
      </c>
      <c r="BG484" t="s">
        <v>2096</v>
      </c>
      <c r="BH484">
        <v>0</v>
      </c>
      <c r="BI484">
        <v>0</v>
      </c>
      <c r="BJ484">
        <v>1</v>
      </c>
      <c r="BK484" t="s">
        <v>2097</v>
      </c>
      <c r="BL484">
        <v>8.8620000000000001</v>
      </c>
      <c r="BM484">
        <v>8.8620000000000001</v>
      </c>
      <c r="BN484" t="s">
        <v>2033</v>
      </c>
      <c r="BO484" s="1">
        <v>0.58359953703703704</v>
      </c>
      <c r="BP484" s="3">
        <f t="shared" si="46"/>
        <v>0.98708819299837303</v>
      </c>
      <c r="BQ484" s="3">
        <f t="shared" si="47"/>
        <v>1.0100786595479994</v>
      </c>
    </row>
    <row r="485" spans="1:69" hidden="1" x14ac:dyDescent="0.35">
      <c r="A485">
        <v>483</v>
      </c>
      <c r="B485">
        <v>4845</v>
      </c>
      <c r="D485">
        <v>32</v>
      </c>
      <c r="E485">
        <v>2</v>
      </c>
      <c r="G485">
        <v>19793.8</v>
      </c>
      <c r="I485" t="s">
        <v>62</v>
      </c>
      <c r="L485" t="s">
        <v>2028</v>
      </c>
      <c r="M485">
        <v>9.82</v>
      </c>
      <c r="N485">
        <v>51.1</v>
      </c>
      <c r="O485">
        <v>9.41</v>
      </c>
      <c r="P485" s="3">
        <f t="shared" si="42"/>
        <v>0.9582484725050916</v>
      </c>
      <c r="Q485">
        <v>42.4</v>
      </c>
      <c r="R485" s="3">
        <f t="shared" si="43"/>
        <v>0.82974559686888449</v>
      </c>
      <c r="S485">
        <v>400</v>
      </c>
      <c r="T485">
        <v>9.5950000000000006</v>
      </c>
      <c r="U485">
        <v>50.84</v>
      </c>
      <c r="V485">
        <v>9.0820000000000007</v>
      </c>
      <c r="W485" s="3">
        <f t="shared" si="44"/>
        <v>0.9465346534653466</v>
      </c>
      <c r="X485">
        <v>42.29</v>
      </c>
      <c r="Y485" s="3">
        <f t="shared" si="45"/>
        <v>0.83182533438237605</v>
      </c>
      <c r="Z485">
        <v>384.1</v>
      </c>
      <c r="AA485">
        <v>78.7</v>
      </c>
      <c r="AB485">
        <v>25.2</v>
      </c>
      <c r="AC485" t="s">
        <v>64</v>
      </c>
      <c r="AE485" t="s">
        <v>65</v>
      </c>
      <c r="AF485" t="s">
        <v>66</v>
      </c>
      <c r="AG485" s="2">
        <v>44238</v>
      </c>
      <c r="AH485" s="1">
        <v>0.52425925925925931</v>
      </c>
      <c r="AI485" t="s">
        <v>68</v>
      </c>
      <c r="AJ485" t="s">
        <v>69</v>
      </c>
      <c r="AO485">
        <v>7.6890000000000001</v>
      </c>
      <c r="AP485">
        <v>52.393000000000001</v>
      </c>
      <c r="AQ485">
        <v>8</v>
      </c>
      <c r="AR485">
        <v>1.915</v>
      </c>
      <c r="AS485">
        <v>47.889000000000003</v>
      </c>
      <c r="AT485">
        <v>40</v>
      </c>
      <c r="AY485">
        <v>1.9</v>
      </c>
      <c r="AZ485" s="2">
        <v>44238</v>
      </c>
      <c r="BB485" s="2">
        <v>44238</v>
      </c>
      <c r="BD485" t="s">
        <v>68</v>
      </c>
      <c r="BE485" t="s">
        <v>2098</v>
      </c>
      <c r="BF485" t="s">
        <v>2099</v>
      </c>
      <c r="BG485" t="s">
        <v>2100</v>
      </c>
      <c r="BH485">
        <v>0</v>
      </c>
      <c r="BI485">
        <v>0</v>
      </c>
      <c r="BJ485">
        <v>1</v>
      </c>
      <c r="BK485" t="s">
        <v>2101</v>
      </c>
      <c r="BL485">
        <v>8.8620000000000001</v>
      </c>
      <c r="BM485">
        <v>8.8620000000000001</v>
      </c>
      <c r="BN485" t="s">
        <v>2033</v>
      </c>
      <c r="BO485" s="1">
        <v>0.58100694444444445</v>
      </c>
      <c r="BP485" s="3">
        <f t="shared" si="46"/>
        <v>0.98777580202228521</v>
      </c>
      <c r="BQ485" s="3">
        <f t="shared" si="47"/>
        <v>1.0025064761070617</v>
      </c>
    </row>
    <row r="486" spans="1:69" hidden="1" x14ac:dyDescent="0.35">
      <c r="A486">
        <v>484</v>
      </c>
      <c r="B486">
        <v>4832</v>
      </c>
      <c r="D486">
        <v>32</v>
      </c>
      <c r="E486">
        <v>2</v>
      </c>
      <c r="G486">
        <v>19793.8</v>
      </c>
      <c r="I486" t="s">
        <v>62</v>
      </c>
      <c r="L486" t="s">
        <v>2028</v>
      </c>
      <c r="M486">
        <v>9.82</v>
      </c>
      <c r="N486">
        <v>51.1</v>
      </c>
      <c r="O486">
        <v>9.41</v>
      </c>
      <c r="P486" s="3">
        <f t="shared" si="42"/>
        <v>0.9582484725050916</v>
      </c>
      <c r="Q486">
        <v>42.4</v>
      </c>
      <c r="R486" s="3">
        <f t="shared" si="43"/>
        <v>0.82974559686888449</v>
      </c>
      <c r="S486">
        <v>400</v>
      </c>
      <c r="T486">
        <v>9.6379999999999999</v>
      </c>
      <c r="U486">
        <v>50.98</v>
      </c>
      <c r="V486">
        <v>9.1020000000000003</v>
      </c>
      <c r="W486" s="3">
        <f t="shared" si="44"/>
        <v>0.94438680224112892</v>
      </c>
      <c r="X486">
        <v>42.69</v>
      </c>
      <c r="Y486" s="3">
        <f t="shared" si="45"/>
        <v>0.83738721067085131</v>
      </c>
      <c r="Z486">
        <v>388.6</v>
      </c>
      <c r="AA486">
        <v>79.099999999999994</v>
      </c>
      <c r="AB486">
        <v>25.2</v>
      </c>
      <c r="AC486" t="s">
        <v>64</v>
      </c>
      <c r="AE486" t="s">
        <v>65</v>
      </c>
      <c r="AF486" t="s">
        <v>66</v>
      </c>
      <c r="AG486" s="2">
        <v>44238</v>
      </c>
      <c r="AH486" s="1">
        <v>0.51442129629629629</v>
      </c>
      <c r="AI486" t="s">
        <v>68</v>
      </c>
      <c r="AJ486" t="s">
        <v>69</v>
      </c>
      <c r="AO486">
        <v>7.6890000000000001</v>
      </c>
      <c r="AP486">
        <v>52.280999999999999</v>
      </c>
      <c r="AQ486">
        <v>8</v>
      </c>
      <c r="AR486">
        <v>1.915</v>
      </c>
      <c r="AS486">
        <v>48.113999999999997</v>
      </c>
      <c r="AT486">
        <v>40</v>
      </c>
      <c r="AY486">
        <v>1.9</v>
      </c>
      <c r="AZ486" s="2">
        <v>44266</v>
      </c>
      <c r="BB486" s="2">
        <v>44266</v>
      </c>
      <c r="BD486" t="s">
        <v>68</v>
      </c>
      <c r="BE486" t="s">
        <v>2102</v>
      </c>
      <c r="BF486" t="s">
        <v>2103</v>
      </c>
      <c r="BG486" t="s">
        <v>2104</v>
      </c>
      <c r="BH486">
        <v>0</v>
      </c>
      <c r="BI486">
        <v>0</v>
      </c>
      <c r="BJ486">
        <v>1</v>
      </c>
      <c r="BK486" t="s">
        <v>2105</v>
      </c>
      <c r="BL486">
        <v>8.8620000000000001</v>
      </c>
      <c r="BM486">
        <v>8.8620000000000001</v>
      </c>
      <c r="BN486" t="s">
        <v>2033</v>
      </c>
      <c r="BO486" s="1">
        <v>0.58475694444444448</v>
      </c>
      <c r="BP486" s="3">
        <f t="shared" si="46"/>
        <v>0.98553436748224088</v>
      </c>
      <c r="BQ486" s="3">
        <f t="shared" si="47"/>
        <v>1.009209586445295</v>
      </c>
    </row>
    <row r="487" spans="1:69" hidden="1" x14ac:dyDescent="0.35">
      <c r="A487">
        <v>485</v>
      </c>
      <c r="B487">
        <v>4844</v>
      </c>
      <c r="D487">
        <v>32</v>
      </c>
      <c r="E487">
        <v>2</v>
      </c>
      <c r="G487">
        <v>19793.8</v>
      </c>
      <c r="I487" t="s">
        <v>62</v>
      </c>
      <c r="L487" t="s">
        <v>2028</v>
      </c>
      <c r="M487">
        <v>9.82</v>
      </c>
      <c r="N487">
        <v>51.1</v>
      </c>
      <c r="O487">
        <v>9.41</v>
      </c>
      <c r="P487" s="3">
        <f t="shared" si="42"/>
        <v>0.9582484725050916</v>
      </c>
      <c r="Q487">
        <v>42.4</v>
      </c>
      <c r="R487" s="3">
        <f t="shared" si="43"/>
        <v>0.82974559686888449</v>
      </c>
      <c r="S487">
        <v>400</v>
      </c>
      <c r="T487">
        <v>9.6129999999999995</v>
      </c>
      <c r="U487">
        <v>50.92</v>
      </c>
      <c r="V487">
        <v>9.0869999999999997</v>
      </c>
      <c r="W487" s="3">
        <f t="shared" si="44"/>
        <v>0.94528243004265056</v>
      </c>
      <c r="X487">
        <v>42.31</v>
      </c>
      <c r="Y487" s="3">
        <f t="shared" si="45"/>
        <v>0.83091123330714844</v>
      </c>
      <c r="Z487">
        <v>384.5</v>
      </c>
      <c r="AA487">
        <v>78.599999999999994</v>
      </c>
      <c r="AB487">
        <v>24.6</v>
      </c>
      <c r="AC487" t="s">
        <v>64</v>
      </c>
      <c r="AE487" t="s">
        <v>65</v>
      </c>
      <c r="AF487" t="s">
        <v>66</v>
      </c>
      <c r="AG487" s="2">
        <v>44238</v>
      </c>
      <c r="AH487" s="1">
        <v>0.52967592592592594</v>
      </c>
      <c r="AI487" t="s">
        <v>68</v>
      </c>
      <c r="AJ487" t="s">
        <v>69</v>
      </c>
      <c r="AO487">
        <v>7.6890000000000001</v>
      </c>
      <c r="AP487">
        <v>52.393000000000001</v>
      </c>
      <c r="AQ487">
        <v>4</v>
      </c>
      <c r="AR487">
        <v>1.92</v>
      </c>
      <c r="AS487">
        <v>48.039000000000001</v>
      </c>
      <c r="AT487">
        <v>40</v>
      </c>
      <c r="AY487">
        <v>1.9</v>
      </c>
      <c r="AZ487" s="2">
        <v>44238</v>
      </c>
      <c r="BB487" s="2">
        <v>44238</v>
      </c>
      <c r="BD487" t="s">
        <v>68</v>
      </c>
      <c r="BE487" t="s">
        <v>2106</v>
      </c>
      <c r="BF487" t="s">
        <v>2107</v>
      </c>
      <c r="BG487" t="s">
        <v>2108</v>
      </c>
      <c r="BH487">
        <v>0</v>
      </c>
      <c r="BI487">
        <v>0</v>
      </c>
      <c r="BJ487">
        <v>1</v>
      </c>
      <c r="BK487" t="s">
        <v>2109</v>
      </c>
      <c r="BL487">
        <v>8.8620000000000001</v>
      </c>
      <c r="BM487">
        <v>8.8620000000000001</v>
      </c>
      <c r="BN487" t="s">
        <v>2033</v>
      </c>
      <c r="BO487" s="1">
        <v>0.58008101851851857</v>
      </c>
      <c r="BP487" s="3">
        <f t="shared" si="46"/>
        <v>0.98646901838669809</v>
      </c>
      <c r="BQ487" s="3">
        <f t="shared" si="47"/>
        <v>1.0014048118395116</v>
      </c>
    </row>
    <row r="488" spans="1:69" hidden="1" x14ac:dyDescent="0.35">
      <c r="A488">
        <v>486</v>
      </c>
      <c r="B488">
        <v>4849</v>
      </c>
      <c r="D488">
        <v>32</v>
      </c>
      <c r="E488">
        <v>2</v>
      </c>
      <c r="G488">
        <v>19793.8</v>
      </c>
      <c r="I488" t="s">
        <v>62</v>
      </c>
      <c r="L488" t="s">
        <v>183</v>
      </c>
      <c r="M488">
        <v>9.82</v>
      </c>
      <c r="N488">
        <v>51.1</v>
      </c>
      <c r="O488">
        <v>9.41</v>
      </c>
      <c r="P488" s="3">
        <f t="shared" si="42"/>
        <v>0.9582484725050916</v>
      </c>
      <c r="Q488">
        <v>42.4</v>
      </c>
      <c r="R488" s="3">
        <f t="shared" si="43"/>
        <v>0.82974559686888449</v>
      </c>
      <c r="S488">
        <v>400</v>
      </c>
      <c r="T488">
        <v>9.5890000000000004</v>
      </c>
      <c r="U488">
        <v>50.85</v>
      </c>
      <c r="V488">
        <v>9.0690000000000008</v>
      </c>
      <c r="W488" s="3">
        <f t="shared" si="44"/>
        <v>0.94577119616226935</v>
      </c>
      <c r="X488">
        <v>42.29</v>
      </c>
      <c r="Y488" s="3">
        <f t="shared" si="45"/>
        <v>0.83166175024582101</v>
      </c>
      <c r="Z488">
        <v>383.5</v>
      </c>
      <c r="AA488">
        <v>78.7</v>
      </c>
      <c r="AB488">
        <v>25.4</v>
      </c>
      <c r="AC488" t="s">
        <v>64</v>
      </c>
      <c r="AE488" t="s">
        <v>65</v>
      </c>
      <c r="AF488" t="s">
        <v>66</v>
      </c>
      <c r="AG488" s="2">
        <v>44238</v>
      </c>
      <c r="AH488" s="1">
        <v>0.52189814814814817</v>
      </c>
      <c r="AI488" t="s">
        <v>68</v>
      </c>
      <c r="AJ488" t="s">
        <v>69</v>
      </c>
      <c r="AO488">
        <v>7.6890000000000001</v>
      </c>
      <c r="AP488">
        <v>52.206000000000003</v>
      </c>
      <c r="AQ488">
        <v>8</v>
      </c>
      <c r="AR488">
        <v>1.92</v>
      </c>
      <c r="AS488">
        <v>47.701000000000001</v>
      </c>
      <c r="AT488">
        <v>40</v>
      </c>
      <c r="AY488">
        <v>1.9</v>
      </c>
      <c r="AZ488" s="2">
        <v>44266</v>
      </c>
      <c r="BB488" s="2">
        <v>44266</v>
      </c>
      <c r="BD488" t="s">
        <v>68</v>
      </c>
      <c r="BE488" t="s">
        <v>2110</v>
      </c>
      <c r="BF488" t="s">
        <v>2111</v>
      </c>
      <c r="BG488" t="s">
        <v>2112</v>
      </c>
      <c r="BH488">
        <v>0</v>
      </c>
      <c r="BI488">
        <v>0</v>
      </c>
      <c r="BJ488">
        <v>2</v>
      </c>
      <c r="BK488" t="s">
        <v>2113</v>
      </c>
      <c r="BL488">
        <v>8.8620000000000001</v>
      </c>
      <c r="BM488">
        <v>8.8620000000000001</v>
      </c>
      <c r="BN488" s="2">
        <v>44238</v>
      </c>
      <c r="BO488" s="1">
        <v>0.52189814814814817</v>
      </c>
      <c r="BP488" s="3">
        <f t="shared" si="46"/>
        <v>0.98697908037337789</v>
      </c>
      <c r="BQ488" s="3">
        <f t="shared" si="47"/>
        <v>1.0023093263575815</v>
      </c>
    </row>
    <row r="489" spans="1:69" hidden="1" x14ac:dyDescent="0.35">
      <c r="A489">
        <v>487</v>
      </c>
      <c r="B489">
        <v>4849</v>
      </c>
      <c r="D489">
        <v>32</v>
      </c>
      <c r="E489">
        <v>2</v>
      </c>
      <c r="G489">
        <v>19793.8</v>
      </c>
      <c r="I489" t="s">
        <v>62</v>
      </c>
      <c r="L489" t="s">
        <v>183</v>
      </c>
      <c r="M489">
        <v>9.82</v>
      </c>
      <c r="N489">
        <v>51.1</v>
      </c>
      <c r="O489">
        <v>9.41</v>
      </c>
      <c r="P489" s="3">
        <f t="shared" si="42"/>
        <v>0.9582484725050916</v>
      </c>
      <c r="Q489">
        <v>42.4</v>
      </c>
      <c r="R489" s="3">
        <f t="shared" si="43"/>
        <v>0.82974559686888449</v>
      </c>
      <c r="S489">
        <v>400</v>
      </c>
      <c r="T489">
        <v>9.5890000000000004</v>
      </c>
      <c r="U489">
        <v>50.85</v>
      </c>
      <c r="V489">
        <v>9.0690000000000008</v>
      </c>
      <c r="W489" s="3">
        <f t="shared" si="44"/>
        <v>0.94577119616226935</v>
      </c>
      <c r="X489">
        <v>42.29</v>
      </c>
      <c r="Y489" s="3">
        <f t="shared" si="45"/>
        <v>0.83166175024582101</v>
      </c>
      <c r="Z489">
        <v>383.5</v>
      </c>
      <c r="AA489">
        <v>78.7</v>
      </c>
      <c r="AB489">
        <v>25.4</v>
      </c>
      <c r="AC489" t="s">
        <v>64</v>
      </c>
      <c r="AE489" t="s">
        <v>65</v>
      </c>
      <c r="AF489" t="s">
        <v>66</v>
      </c>
      <c r="AG489" s="2">
        <v>44238</v>
      </c>
      <c r="AH489" s="1">
        <v>0.52189814814814817</v>
      </c>
      <c r="AI489" t="s">
        <v>68</v>
      </c>
      <c r="AJ489" t="s">
        <v>69</v>
      </c>
      <c r="AO489">
        <v>7.694</v>
      </c>
      <c r="AP489">
        <v>52.430999999999997</v>
      </c>
      <c r="AQ489">
        <v>8</v>
      </c>
      <c r="AR489">
        <v>1.92</v>
      </c>
      <c r="AS489">
        <v>47.963999999999999</v>
      </c>
      <c r="AT489">
        <v>40</v>
      </c>
      <c r="AY489">
        <v>1.9</v>
      </c>
      <c r="AZ489" s="2">
        <v>44238</v>
      </c>
      <c r="BB489" s="2">
        <v>44238</v>
      </c>
      <c r="BD489" t="s">
        <v>68</v>
      </c>
      <c r="BE489" t="s">
        <v>2114</v>
      </c>
      <c r="BF489" t="s">
        <v>2115</v>
      </c>
      <c r="BG489" t="s">
        <v>2112</v>
      </c>
      <c r="BH489">
        <v>0</v>
      </c>
      <c r="BI489">
        <v>1</v>
      </c>
      <c r="BJ489">
        <v>2</v>
      </c>
      <c r="BK489" t="s">
        <v>2113</v>
      </c>
      <c r="BL489">
        <v>8.8620000000000001</v>
      </c>
      <c r="BM489">
        <v>8.8620000000000001</v>
      </c>
      <c r="BN489" s="2">
        <v>44238</v>
      </c>
      <c r="BO489" s="1">
        <v>0.52189814814814817</v>
      </c>
      <c r="BP489" s="3">
        <f t="shared" si="46"/>
        <v>0.98697908037337789</v>
      </c>
      <c r="BQ489" s="3">
        <f t="shared" si="47"/>
        <v>1.0023093263575815</v>
      </c>
    </row>
    <row r="490" spans="1:69" hidden="1" x14ac:dyDescent="0.35">
      <c r="A490">
        <v>488</v>
      </c>
      <c r="B490">
        <v>4842</v>
      </c>
      <c r="D490">
        <v>32</v>
      </c>
      <c r="E490">
        <v>2</v>
      </c>
      <c r="G490">
        <v>19793.8</v>
      </c>
      <c r="I490" t="s">
        <v>62</v>
      </c>
      <c r="L490" t="s">
        <v>2028</v>
      </c>
      <c r="M490">
        <v>9.82</v>
      </c>
      <c r="N490">
        <v>51.1</v>
      </c>
      <c r="O490">
        <v>9.41</v>
      </c>
      <c r="P490" s="3">
        <f t="shared" si="42"/>
        <v>0.9582484725050916</v>
      </c>
      <c r="Q490">
        <v>42.4</v>
      </c>
      <c r="R490" s="3">
        <f t="shared" si="43"/>
        <v>0.82974559686888449</v>
      </c>
      <c r="S490">
        <v>400</v>
      </c>
      <c r="T490">
        <v>9.6170000000000009</v>
      </c>
      <c r="U490">
        <v>51.03</v>
      </c>
      <c r="V490">
        <v>9.0809999999999995</v>
      </c>
      <c r="W490" s="3">
        <f t="shared" si="44"/>
        <v>0.94426536341894551</v>
      </c>
      <c r="X490">
        <v>42.43</v>
      </c>
      <c r="Y490" s="3">
        <f t="shared" si="45"/>
        <v>0.83147168332353516</v>
      </c>
      <c r="Z490">
        <v>385.3</v>
      </c>
      <c r="AA490">
        <v>78.5</v>
      </c>
      <c r="AB490">
        <v>24.6</v>
      </c>
      <c r="AC490" t="s">
        <v>64</v>
      </c>
      <c r="AE490" t="s">
        <v>65</v>
      </c>
      <c r="AF490" t="s">
        <v>66</v>
      </c>
      <c r="AG490" s="2">
        <v>44238</v>
      </c>
      <c r="AH490" s="1">
        <v>0.5304861111111111</v>
      </c>
      <c r="AI490" t="s">
        <v>68</v>
      </c>
      <c r="AJ490" t="s">
        <v>69</v>
      </c>
      <c r="AO490">
        <v>7.6890000000000001</v>
      </c>
      <c r="AP490">
        <v>52.506</v>
      </c>
      <c r="AQ490">
        <v>8</v>
      </c>
      <c r="AR490">
        <v>1.92</v>
      </c>
      <c r="AS490">
        <v>47.963999999999999</v>
      </c>
      <c r="AT490">
        <v>40</v>
      </c>
      <c r="AY490">
        <v>1.9</v>
      </c>
      <c r="AZ490" s="2">
        <v>44238</v>
      </c>
      <c r="BB490" s="2">
        <v>44238</v>
      </c>
      <c r="BD490" t="s">
        <v>68</v>
      </c>
      <c r="BE490" t="s">
        <v>2116</v>
      </c>
      <c r="BF490" t="s">
        <v>2117</v>
      </c>
      <c r="BG490" t="s">
        <v>2118</v>
      </c>
      <c r="BH490">
        <v>0</v>
      </c>
      <c r="BI490">
        <v>0</v>
      </c>
      <c r="BJ490">
        <v>1</v>
      </c>
      <c r="BK490" t="s">
        <v>2119</v>
      </c>
      <c r="BL490">
        <v>8.8620000000000001</v>
      </c>
      <c r="BM490">
        <v>8.8620000000000001</v>
      </c>
      <c r="BN490" t="s">
        <v>2033</v>
      </c>
      <c r="BO490" s="1">
        <v>0.57780092592592591</v>
      </c>
      <c r="BP490" s="3">
        <f t="shared" si="46"/>
        <v>0.98540763748927152</v>
      </c>
      <c r="BQ490" s="3">
        <f t="shared" si="47"/>
        <v>1.0020802598545435</v>
      </c>
    </row>
    <row r="491" spans="1:69" hidden="1" x14ac:dyDescent="0.35">
      <c r="A491">
        <v>489</v>
      </c>
      <c r="B491">
        <v>4847</v>
      </c>
      <c r="D491">
        <v>32</v>
      </c>
      <c r="E491">
        <v>2</v>
      </c>
      <c r="G491">
        <v>19793.8</v>
      </c>
      <c r="I491" t="s">
        <v>62</v>
      </c>
      <c r="L491" t="s">
        <v>183</v>
      </c>
      <c r="M491">
        <v>9.82</v>
      </c>
      <c r="N491">
        <v>51.1</v>
      </c>
      <c r="O491">
        <v>9.41</v>
      </c>
      <c r="P491" s="3">
        <f t="shared" si="42"/>
        <v>0.9582484725050916</v>
      </c>
      <c r="Q491">
        <v>42.4</v>
      </c>
      <c r="R491" s="3">
        <f t="shared" si="43"/>
        <v>0.82974559686888449</v>
      </c>
      <c r="S491">
        <v>400</v>
      </c>
      <c r="T491">
        <v>9.64</v>
      </c>
      <c r="U491">
        <v>50.78</v>
      </c>
      <c r="V491">
        <v>9.0980000000000008</v>
      </c>
      <c r="W491" s="3">
        <f t="shared" si="44"/>
        <v>0.94377593360995848</v>
      </c>
      <c r="X491">
        <v>42.36</v>
      </c>
      <c r="Y491" s="3">
        <f t="shared" si="45"/>
        <v>0.83418668767231186</v>
      </c>
      <c r="Z491">
        <v>385.4</v>
      </c>
      <c r="AA491">
        <v>78.7</v>
      </c>
      <c r="AB491">
        <v>25.2</v>
      </c>
      <c r="AC491" t="s">
        <v>64</v>
      </c>
      <c r="AE491" t="s">
        <v>65</v>
      </c>
      <c r="AF491" t="s">
        <v>66</v>
      </c>
      <c r="AG491" s="2">
        <v>44238</v>
      </c>
      <c r="AH491" s="1">
        <v>0.5183564814814815</v>
      </c>
      <c r="AI491" t="s">
        <v>68</v>
      </c>
      <c r="AJ491" t="s">
        <v>69</v>
      </c>
      <c r="AO491">
        <v>7.694</v>
      </c>
      <c r="AP491">
        <v>52.206000000000003</v>
      </c>
      <c r="AQ491">
        <v>8</v>
      </c>
      <c r="AR491">
        <v>1.915</v>
      </c>
      <c r="AS491">
        <v>47.776000000000003</v>
      </c>
      <c r="AT491">
        <v>40</v>
      </c>
      <c r="AY491">
        <v>1.9</v>
      </c>
      <c r="AZ491" s="2">
        <v>44266</v>
      </c>
      <c r="BB491" s="2">
        <v>44266</v>
      </c>
      <c r="BD491" t="s">
        <v>68</v>
      </c>
      <c r="BE491" t="s">
        <v>2120</v>
      </c>
      <c r="BF491" t="s">
        <v>2121</v>
      </c>
      <c r="BG491" t="s">
        <v>2122</v>
      </c>
      <c r="BH491">
        <v>0</v>
      </c>
      <c r="BI491">
        <v>0</v>
      </c>
      <c r="BJ491">
        <v>1</v>
      </c>
      <c r="BK491" t="s">
        <v>2123</v>
      </c>
      <c r="BL491">
        <v>8.8620000000000001</v>
      </c>
      <c r="BM491">
        <v>8.8620000000000001</v>
      </c>
      <c r="BN491" s="2">
        <v>44238</v>
      </c>
      <c r="BO491" s="1">
        <v>0.5183564814814815</v>
      </c>
      <c r="BP491" s="3">
        <f t="shared" si="46"/>
        <v>0.98489688289583344</v>
      </c>
      <c r="BQ491" s="3">
        <f t="shared" si="47"/>
        <v>1.0053523523597909</v>
      </c>
    </row>
    <row r="492" spans="1:69" hidden="1" x14ac:dyDescent="0.35">
      <c r="A492">
        <v>490</v>
      </c>
      <c r="B492">
        <v>4851</v>
      </c>
      <c r="D492">
        <v>32</v>
      </c>
      <c r="E492">
        <v>2</v>
      </c>
      <c r="G492">
        <v>19793.8</v>
      </c>
      <c r="I492" t="s">
        <v>62</v>
      </c>
      <c r="L492" t="s">
        <v>183</v>
      </c>
      <c r="M492">
        <v>9.82</v>
      </c>
      <c r="N492">
        <v>51.1</v>
      </c>
      <c r="O492">
        <v>9.41</v>
      </c>
      <c r="P492" s="3">
        <f t="shared" si="42"/>
        <v>0.9582484725050916</v>
      </c>
      <c r="Q492">
        <v>42.4</v>
      </c>
      <c r="R492" s="3">
        <f t="shared" si="43"/>
        <v>0.82974559686888449</v>
      </c>
      <c r="S492">
        <v>400</v>
      </c>
      <c r="T492">
        <v>9.6310000000000002</v>
      </c>
      <c r="U492">
        <v>50.84</v>
      </c>
      <c r="V492">
        <v>9.0960000000000001</v>
      </c>
      <c r="W492" s="3">
        <f t="shared" si="44"/>
        <v>0.94445021285432451</v>
      </c>
      <c r="X492">
        <v>42.45</v>
      </c>
      <c r="Y492" s="3">
        <f t="shared" si="45"/>
        <v>0.83497246262785207</v>
      </c>
      <c r="Z492">
        <v>386.2</v>
      </c>
      <c r="AA492">
        <v>78.900000000000006</v>
      </c>
      <c r="AB492">
        <v>25</v>
      </c>
      <c r="AC492" t="s">
        <v>64</v>
      </c>
      <c r="AE492" t="s">
        <v>65</v>
      </c>
      <c r="AF492" t="s">
        <v>66</v>
      </c>
      <c r="AG492" s="2">
        <v>44238</v>
      </c>
      <c r="AH492" s="1">
        <v>0.5250231481481481</v>
      </c>
      <c r="AI492" t="s">
        <v>68</v>
      </c>
      <c r="AJ492" t="s">
        <v>69</v>
      </c>
      <c r="AO492">
        <v>7.694</v>
      </c>
      <c r="AP492">
        <v>52.167999999999999</v>
      </c>
      <c r="AQ492">
        <v>8</v>
      </c>
      <c r="AR492">
        <v>1.92</v>
      </c>
      <c r="AS492">
        <v>47.738999999999997</v>
      </c>
      <c r="AT492">
        <v>40</v>
      </c>
      <c r="AY492">
        <v>1.9</v>
      </c>
      <c r="AZ492" s="2">
        <v>44238</v>
      </c>
      <c r="BB492" s="2">
        <v>44238</v>
      </c>
      <c r="BD492" t="s">
        <v>68</v>
      </c>
      <c r="BE492" t="s">
        <v>2124</v>
      </c>
      <c r="BF492" t="s">
        <v>2125</v>
      </c>
      <c r="BG492" t="s">
        <v>2126</v>
      </c>
      <c r="BH492">
        <v>0</v>
      </c>
      <c r="BI492">
        <v>0</v>
      </c>
      <c r="BJ492">
        <v>1</v>
      </c>
      <c r="BK492" t="s">
        <v>2127</v>
      </c>
      <c r="BL492">
        <v>8.8620000000000001</v>
      </c>
      <c r="BM492">
        <v>8.8620000000000001</v>
      </c>
      <c r="BN492" s="2">
        <v>44238</v>
      </c>
      <c r="BO492" s="1">
        <v>0.5250231481481481</v>
      </c>
      <c r="BP492" s="3">
        <f t="shared" si="46"/>
        <v>0.98560054093830685</v>
      </c>
      <c r="BQ492" s="3">
        <f t="shared" si="47"/>
        <v>1.0062993594406426</v>
      </c>
    </row>
    <row r="493" spans="1:69" hidden="1" x14ac:dyDescent="0.35">
      <c r="A493">
        <v>491</v>
      </c>
      <c r="B493">
        <v>4896</v>
      </c>
      <c r="D493">
        <v>32</v>
      </c>
      <c r="E493">
        <v>2</v>
      </c>
      <c r="G493">
        <v>19793.8</v>
      </c>
      <c r="I493" t="s">
        <v>62</v>
      </c>
      <c r="L493" t="s">
        <v>183</v>
      </c>
      <c r="M493">
        <v>9.82</v>
      </c>
      <c r="N493">
        <v>51.1</v>
      </c>
      <c r="O493">
        <v>9.41</v>
      </c>
      <c r="P493" s="3">
        <f t="shared" si="42"/>
        <v>0.9582484725050916</v>
      </c>
      <c r="Q493">
        <v>42.4</v>
      </c>
      <c r="R493" s="3">
        <f t="shared" si="43"/>
        <v>0.82974559686888449</v>
      </c>
      <c r="S493">
        <v>400</v>
      </c>
      <c r="T493">
        <v>9.6270000000000007</v>
      </c>
      <c r="U493">
        <v>51.02</v>
      </c>
      <c r="V493">
        <v>9.1039999999999992</v>
      </c>
      <c r="W493" s="3">
        <f t="shared" si="44"/>
        <v>0.94567362625947837</v>
      </c>
      <c r="X493">
        <v>42.6</v>
      </c>
      <c r="Y493" s="3">
        <f t="shared" si="45"/>
        <v>0.83496667973343786</v>
      </c>
      <c r="Z493">
        <v>387.8</v>
      </c>
      <c r="AA493">
        <v>79</v>
      </c>
      <c r="AB493">
        <v>25.4</v>
      </c>
      <c r="AC493" t="s">
        <v>64</v>
      </c>
      <c r="AE493" t="s">
        <v>65</v>
      </c>
      <c r="AF493" t="s">
        <v>66</v>
      </c>
      <c r="AG493" t="s">
        <v>2128</v>
      </c>
      <c r="AH493" s="1">
        <v>0.4228703703703704</v>
      </c>
      <c r="AI493" t="s">
        <v>68</v>
      </c>
      <c r="AJ493" t="s">
        <v>69</v>
      </c>
      <c r="AO493">
        <v>7.2290000000000001</v>
      </c>
      <c r="AP493">
        <v>52.018000000000001</v>
      </c>
      <c r="AQ493">
        <v>8</v>
      </c>
      <c r="AR493">
        <v>1.915</v>
      </c>
      <c r="AS493">
        <v>47.814</v>
      </c>
      <c r="AT493">
        <v>40</v>
      </c>
      <c r="AY493">
        <v>1.9</v>
      </c>
      <c r="AZ493" t="s">
        <v>2128</v>
      </c>
      <c r="BB493" t="s">
        <v>2128</v>
      </c>
      <c r="BD493" t="s">
        <v>68</v>
      </c>
      <c r="BE493" t="s">
        <v>2129</v>
      </c>
      <c r="BF493" t="s">
        <v>2130</v>
      </c>
      <c r="BG493" t="s">
        <v>2131</v>
      </c>
      <c r="BH493">
        <v>0</v>
      </c>
      <c r="BI493">
        <v>0</v>
      </c>
      <c r="BJ493">
        <v>1</v>
      </c>
      <c r="BK493" t="s">
        <v>2132</v>
      </c>
      <c r="BL493">
        <v>8.8620000000000001</v>
      </c>
      <c r="BM493">
        <v>8.8620000000000001</v>
      </c>
      <c r="BN493" t="s">
        <v>2128</v>
      </c>
      <c r="BO493" s="1">
        <v>0.4228703703703704</v>
      </c>
      <c r="BP493" s="3">
        <f t="shared" si="46"/>
        <v>0.98687725928459913</v>
      </c>
      <c r="BQ493" s="3">
        <f t="shared" si="47"/>
        <v>1.0062923899617613</v>
      </c>
    </row>
    <row r="494" spans="1:69" hidden="1" x14ac:dyDescent="0.35">
      <c r="A494">
        <v>492</v>
      </c>
      <c r="B494">
        <v>4152</v>
      </c>
      <c r="D494">
        <v>5</v>
      </c>
      <c r="E494">
        <v>8</v>
      </c>
      <c r="G494">
        <v>16335</v>
      </c>
      <c r="I494" t="s">
        <v>62</v>
      </c>
      <c r="L494" t="s">
        <v>426</v>
      </c>
      <c r="M494">
        <v>9.83</v>
      </c>
      <c r="N494">
        <v>39.700000000000003</v>
      </c>
      <c r="O494">
        <v>9.24</v>
      </c>
      <c r="P494" s="3">
        <f t="shared" si="42"/>
        <v>0.9399796541200407</v>
      </c>
      <c r="Q494">
        <v>32.5</v>
      </c>
      <c r="R494" s="3">
        <f t="shared" si="43"/>
        <v>0.81863979848866497</v>
      </c>
      <c r="S494">
        <v>300</v>
      </c>
      <c r="T494">
        <v>9.6349999999999998</v>
      </c>
      <c r="U494">
        <v>39.56</v>
      </c>
      <c r="V494">
        <v>9.2110000000000003</v>
      </c>
      <c r="W494" s="3">
        <f t="shared" si="44"/>
        <v>0.95599377270368457</v>
      </c>
      <c r="X494">
        <v>31.94</v>
      </c>
      <c r="Y494" s="3">
        <f t="shared" si="45"/>
        <v>0.80738119312436807</v>
      </c>
      <c r="Z494">
        <v>294.2</v>
      </c>
      <c r="AA494">
        <v>77.2</v>
      </c>
      <c r="AB494">
        <v>25.1</v>
      </c>
      <c r="AC494" t="s">
        <v>64</v>
      </c>
      <c r="AE494" t="s">
        <v>65</v>
      </c>
      <c r="AF494" t="s">
        <v>66</v>
      </c>
      <c r="AG494" t="s">
        <v>427</v>
      </c>
      <c r="AH494" s="1">
        <v>0.41728009259259258</v>
      </c>
      <c r="AI494" t="s">
        <v>68</v>
      </c>
      <c r="AJ494" t="s">
        <v>69</v>
      </c>
      <c r="AO494">
        <v>7.7229999999999999</v>
      </c>
      <c r="AP494">
        <v>41.503999999999998</v>
      </c>
      <c r="AQ494">
        <v>9.6</v>
      </c>
      <c r="AR494">
        <v>1.9350000000000001</v>
      </c>
      <c r="AS494">
        <v>37.375999999999998</v>
      </c>
      <c r="AT494">
        <v>51.2</v>
      </c>
      <c r="AY494">
        <v>2.36</v>
      </c>
      <c r="AZ494" t="s">
        <v>427</v>
      </c>
      <c r="BB494" t="s">
        <v>427</v>
      </c>
      <c r="BD494" t="s">
        <v>68</v>
      </c>
      <c r="BE494" t="s">
        <v>2133</v>
      </c>
      <c r="BF494" t="s">
        <v>2134</v>
      </c>
      <c r="BG494" t="s">
        <v>2135</v>
      </c>
      <c r="BH494">
        <v>0</v>
      </c>
      <c r="BI494">
        <v>0</v>
      </c>
      <c r="BJ494">
        <v>1</v>
      </c>
      <c r="BK494" t="s">
        <v>2136</v>
      </c>
      <c r="BL494">
        <v>8.8620000000000001</v>
      </c>
      <c r="BM494">
        <v>8.8620000000000001</v>
      </c>
      <c r="BN494" t="s">
        <v>425</v>
      </c>
      <c r="BO494" s="1">
        <v>0.53467592592592594</v>
      </c>
      <c r="BP494" s="3">
        <f t="shared" si="46"/>
        <v>1.0170366651165821</v>
      </c>
      <c r="BQ494" s="3">
        <f t="shared" si="47"/>
        <v>0.98624718052422811</v>
      </c>
    </row>
    <row r="495" spans="1:69" hidden="1" x14ac:dyDescent="0.35">
      <c r="A495">
        <v>493</v>
      </c>
      <c r="B495">
        <v>4160</v>
      </c>
      <c r="D495">
        <v>5</v>
      </c>
      <c r="E495">
        <v>8</v>
      </c>
      <c r="G495">
        <v>16335</v>
      </c>
      <c r="I495" t="s">
        <v>62</v>
      </c>
      <c r="L495" t="s">
        <v>426</v>
      </c>
      <c r="M495">
        <v>9.83</v>
      </c>
      <c r="N495">
        <v>39.700000000000003</v>
      </c>
      <c r="O495">
        <v>9.24</v>
      </c>
      <c r="P495" s="3">
        <f t="shared" si="42"/>
        <v>0.9399796541200407</v>
      </c>
      <c r="Q495">
        <v>32.5</v>
      </c>
      <c r="R495" s="3">
        <f t="shared" si="43"/>
        <v>0.81863979848866497</v>
      </c>
      <c r="S495">
        <v>300</v>
      </c>
      <c r="T495">
        <v>9.61</v>
      </c>
      <c r="U495">
        <v>39.56</v>
      </c>
      <c r="V495">
        <v>9.173</v>
      </c>
      <c r="W495" s="3">
        <f t="shared" si="44"/>
        <v>0.95452653485952144</v>
      </c>
      <c r="X495">
        <v>31.89</v>
      </c>
      <c r="Y495" s="3">
        <f t="shared" si="45"/>
        <v>0.8061172901921132</v>
      </c>
      <c r="Z495">
        <v>292.5</v>
      </c>
      <c r="AA495">
        <v>76.900000000000006</v>
      </c>
      <c r="AB495">
        <v>24.9</v>
      </c>
      <c r="AC495" t="s">
        <v>64</v>
      </c>
      <c r="AE495" t="s">
        <v>65</v>
      </c>
      <c r="AF495" t="s">
        <v>66</v>
      </c>
      <c r="AG495" t="s">
        <v>427</v>
      </c>
      <c r="AH495" s="1">
        <v>0.41462962962962963</v>
      </c>
      <c r="AI495" t="s">
        <v>68</v>
      </c>
      <c r="AJ495" t="s">
        <v>69</v>
      </c>
      <c r="AO495">
        <v>7.718</v>
      </c>
      <c r="AP495">
        <v>41.466999999999999</v>
      </c>
      <c r="AQ495">
        <v>9.6</v>
      </c>
      <c r="AR495">
        <v>1.9350000000000001</v>
      </c>
      <c r="AS495">
        <v>37.262999999999998</v>
      </c>
      <c r="AT495">
        <v>51.2</v>
      </c>
      <c r="AY495">
        <v>2.36</v>
      </c>
      <c r="AZ495" t="s">
        <v>427</v>
      </c>
      <c r="BB495" t="s">
        <v>427</v>
      </c>
      <c r="BD495" t="s">
        <v>68</v>
      </c>
      <c r="BE495" t="s">
        <v>2137</v>
      </c>
      <c r="BF495" t="s">
        <v>2138</v>
      </c>
      <c r="BG495" t="s">
        <v>2139</v>
      </c>
      <c r="BH495">
        <v>0</v>
      </c>
      <c r="BI495">
        <v>0</v>
      </c>
      <c r="BJ495">
        <v>1</v>
      </c>
      <c r="BK495" t="s">
        <v>2140</v>
      </c>
      <c r="BL495">
        <v>8.8620000000000001</v>
      </c>
      <c r="BM495">
        <v>8.8620000000000001</v>
      </c>
      <c r="BN495" t="s">
        <v>425</v>
      </c>
      <c r="BO495" s="1">
        <v>0.57210648148148147</v>
      </c>
      <c r="BP495" s="3">
        <f t="shared" si="46"/>
        <v>1.0154757400074779</v>
      </c>
      <c r="BQ495" s="3">
        <f t="shared" si="47"/>
        <v>0.98470327448082751</v>
      </c>
    </row>
    <row r="496" spans="1:69" hidden="1" x14ac:dyDescent="0.35">
      <c r="A496">
        <v>494</v>
      </c>
      <c r="B496">
        <v>4155</v>
      </c>
      <c r="D496">
        <v>5</v>
      </c>
      <c r="E496">
        <v>8</v>
      </c>
      <c r="G496">
        <v>16335</v>
      </c>
      <c r="I496" t="s">
        <v>62</v>
      </c>
      <c r="L496" t="s">
        <v>426</v>
      </c>
      <c r="M496">
        <v>9.83</v>
      </c>
      <c r="N496">
        <v>39.700000000000003</v>
      </c>
      <c r="O496">
        <v>9.24</v>
      </c>
      <c r="P496" s="3">
        <f t="shared" si="42"/>
        <v>0.9399796541200407</v>
      </c>
      <c r="Q496">
        <v>32.5</v>
      </c>
      <c r="R496" s="3">
        <f t="shared" si="43"/>
        <v>0.81863979848866497</v>
      </c>
      <c r="S496">
        <v>300</v>
      </c>
      <c r="T496">
        <v>9.6270000000000007</v>
      </c>
      <c r="U496">
        <v>39.58</v>
      </c>
      <c r="V496">
        <v>9.2149999999999999</v>
      </c>
      <c r="W496" s="3">
        <f t="shared" si="44"/>
        <v>0.95720369793289695</v>
      </c>
      <c r="X496">
        <v>32.049999999999997</v>
      </c>
      <c r="Y496" s="3">
        <f t="shared" si="45"/>
        <v>0.80975240020212225</v>
      </c>
      <c r="Z496">
        <v>295.3</v>
      </c>
      <c r="AA496">
        <v>77.5</v>
      </c>
      <c r="AB496">
        <v>24.9</v>
      </c>
      <c r="AC496" t="s">
        <v>64</v>
      </c>
      <c r="AE496" t="s">
        <v>65</v>
      </c>
      <c r="AF496" t="s">
        <v>66</v>
      </c>
      <c r="AG496" t="s">
        <v>427</v>
      </c>
      <c r="AH496" s="1">
        <v>0.42201388888888891</v>
      </c>
      <c r="AI496" t="s">
        <v>68</v>
      </c>
      <c r="AJ496" t="s">
        <v>69</v>
      </c>
      <c r="AO496">
        <v>7.7229999999999999</v>
      </c>
      <c r="AP496">
        <v>41.241</v>
      </c>
      <c r="AQ496">
        <v>9.6</v>
      </c>
      <c r="AR496">
        <v>1.9350000000000001</v>
      </c>
      <c r="AS496">
        <v>37.151000000000003</v>
      </c>
      <c r="AT496">
        <v>51.2</v>
      </c>
      <c r="AY496">
        <v>2.36</v>
      </c>
      <c r="AZ496" t="s">
        <v>427</v>
      </c>
      <c r="BB496" t="s">
        <v>427</v>
      </c>
      <c r="BD496" t="s">
        <v>68</v>
      </c>
      <c r="BE496" t="s">
        <v>2141</v>
      </c>
      <c r="BF496" t="s">
        <v>2142</v>
      </c>
      <c r="BG496" t="s">
        <v>2143</v>
      </c>
      <c r="BH496">
        <v>0</v>
      </c>
      <c r="BI496">
        <v>0</v>
      </c>
      <c r="BJ496">
        <v>1</v>
      </c>
      <c r="BK496" t="s">
        <v>2144</v>
      </c>
      <c r="BL496">
        <v>8.8620000000000001</v>
      </c>
      <c r="BM496">
        <v>8.8620000000000001</v>
      </c>
      <c r="BN496" t="s">
        <v>425</v>
      </c>
      <c r="BO496" s="1">
        <v>0.55762731481481487</v>
      </c>
      <c r="BP496" s="3">
        <f t="shared" si="46"/>
        <v>1.0183238474762313</v>
      </c>
      <c r="BQ496" s="3">
        <f t="shared" si="47"/>
        <v>0.98914370116997707</v>
      </c>
    </row>
    <row r="497" spans="1:69" hidden="1" x14ac:dyDescent="0.35">
      <c r="A497">
        <v>495</v>
      </c>
      <c r="B497">
        <v>4156</v>
      </c>
      <c r="D497">
        <v>5</v>
      </c>
      <c r="E497">
        <v>8</v>
      </c>
      <c r="G497">
        <v>16335</v>
      </c>
      <c r="I497" t="s">
        <v>62</v>
      </c>
      <c r="L497" t="s">
        <v>426</v>
      </c>
      <c r="M497">
        <v>9.83</v>
      </c>
      <c r="N497">
        <v>39.700000000000003</v>
      </c>
      <c r="O497">
        <v>9.24</v>
      </c>
      <c r="P497" s="3">
        <f t="shared" si="42"/>
        <v>0.9399796541200407</v>
      </c>
      <c r="Q497">
        <v>32.5</v>
      </c>
      <c r="R497" s="3">
        <f t="shared" si="43"/>
        <v>0.81863979848866497</v>
      </c>
      <c r="S497">
        <v>300</v>
      </c>
      <c r="T497">
        <v>9.6430000000000007</v>
      </c>
      <c r="U497">
        <v>39.61</v>
      </c>
      <c r="V497">
        <v>9.2249999999999996</v>
      </c>
      <c r="W497" s="3">
        <f t="shared" si="44"/>
        <v>0.95665249403712527</v>
      </c>
      <c r="X497">
        <v>32.020000000000003</v>
      </c>
      <c r="Y497" s="3">
        <f t="shared" si="45"/>
        <v>0.80838172178742751</v>
      </c>
      <c r="Z497">
        <v>295.39999999999998</v>
      </c>
      <c r="AA497">
        <v>77.3</v>
      </c>
      <c r="AB497">
        <v>25</v>
      </c>
      <c r="AC497" t="s">
        <v>64</v>
      </c>
      <c r="AE497" t="s">
        <v>65</v>
      </c>
      <c r="AF497" t="s">
        <v>66</v>
      </c>
      <c r="AG497" t="s">
        <v>427</v>
      </c>
      <c r="AH497" s="1">
        <v>0.42104166666666665</v>
      </c>
      <c r="AI497" t="s">
        <v>68</v>
      </c>
      <c r="AJ497" t="s">
        <v>69</v>
      </c>
      <c r="AO497">
        <v>7.7229999999999999</v>
      </c>
      <c r="AP497">
        <v>41.241</v>
      </c>
      <c r="AQ497">
        <v>9.6</v>
      </c>
      <c r="AR497">
        <v>1.9350000000000001</v>
      </c>
      <c r="AS497">
        <v>37.151000000000003</v>
      </c>
      <c r="AT497">
        <v>51.2</v>
      </c>
      <c r="AY497">
        <v>2.36</v>
      </c>
      <c r="AZ497" t="s">
        <v>427</v>
      </c>
      <c r="BB497" t="s">
        <v>427</v>
      </c>
      <c r="BD497" t="s">
        <v>68</v>
      </c>
      <c r="BE497" t="s">
        <v>2145</v>
      </c>
      <c r="BF497" t="s">
        <v>2146</v>
      </c>
      <c r="BG497" t="s">
        <v>2147</v>
      </c>
      <c r="BH497">
        <v>0</v>
      </c>
      <c r="BI497">
        <v>0</v>
      </c>
      <c r="BJ497">
        <v>1</v>
      </c>
      <c r="BK497" t="s">
        <v>2148</v>
      </c>
      <c r="BL497">
        <v>8.8620000000000001</v>
      </c>
      <c r="BM497">
        <v>8.8620000000000001</v>
      </c>
      <c r="BN497" t="s">
        <v>425</v>
      </c>
      <c r="BO497" s="1">
        <v>0.55983796296296295</v>
      </c>
      <c r="BP497" s="3">
        <f t="shared" si="46"/>
        <v>1.017737447660708</v>
      </c>
      <c r="BQ497" s="3">
        <f t="shared" si="47"/>
        <v>0.98746936476802682</v>
      </c>
    </row>
    <row r="498" spans="1:69" hidden="1" x14ac:dyDescent="0.35">
      <c r="A498">
        <v>496</v>
      </c>
      <c r="B498">
        <v>4157</v>
      </c>
      <c r="D498">
        <v>5</v>
      </c>
      <c r="E498">
        <v>8</v>
      </c>
      <c r="G498">
        <v>16335</v>
      </c>
      <c r="I498" t="s">
        <v>62</v>
      </c>
      <c r="L498" t="s">
        <v>426</v>
      </c>
      <c r="M498">
        <v>9.83</v>
      </c>
      <c r="N498">
        <v>39.700000000000003</v>
      </c>
      <c r="O498">
        <v>9.24</v>
      </c>
      <c r="P498" s="3">
        <f t="shared" si="42"/>
        <v>0.9399796541200407</v>
      </c>
      <c r="Q498">
        <v>32.5</v>
      </c>
      <c r="R498" s="3">
        <f t="shared" si="43"/>
        <v>0.81863979848866497</v>
      </c>
      <c r="S498">
        <v>300</v>
      </c>
      <c r="T498">
        <v>9.6419999999999995</v>
      </c>
      <c r="U498">
        <v>39.590000000000003</v>
      </c>
      <c r="V498">
        <v>9.202</v>
      </c>
      <c r="W498" s="3">
        <f t="shared" si="44"/>
        <v>0.95436631404272976</v>
      </c>
      <c r="X498">
        <v>32.11</v>
      </c>
      <c r="Y498" s="3">
        <f t="shared" si="45"/>
        <v>0.81106339984844644</v>
      </c>
      <c r="Z498">
        <v>295.5</v>
      </c>
      <c r="AA498">
        <v>77.400000000000006</v>
      </c>
      <c r="AB498">
        <v>24.9</v>
      </c>
      <c r="AC498" t="s">
        <v>64</v>
      </c>
      <c r="AE498" t="s">
        <v>65</v>
      </c>
      <c r="AF498" t="s">
        <v>66</v>
      </c>
      <c r="AG498" t="s">
        <v>427</v>
      </c>
      <c r="AH498" s="1">
        <v>0.41334490740740742</v>
      </c>
      <c r="AI498" t="s">
        <v>68</v>
      </c>
      <c r="AJ498" t="s">
        <v>69</v>
      </c>
      <c r="AO498">
        <v>7.718</v>
      </c>
      <c r="AP498">
        <v>41.503999999999998</v>
      </c>
      <c r="AQ498">
        <v>9.6</v>
      </c>
      <c r="AR498">
        <v>1.9350000000000001</v>
      </c>
      <c r="AS498">
        <v>37.075000000000003</v>
      </c>
      <c r="AT498">
        <v>9.6</v>
      </c>
      <c r="AY498">
        <v>2.36</v>
      </c>
      <c r="AZ498" t="s">
        <v>427</v>
      </c>
      <c r="BB498" t="s">
        <v>427</v>
      </c>
      <c r="BD498" t="s">
        <v>68</v>
      </c>
      <c r="BE498" t="s">
        <v>2149</v>
      </c>
      <c r="BF498" t="s">
        <v>2150</v>
      </c>
      <c r="BG498" t="s">
        <v>2151</v>
      </c>
      <c r="BH498">
        <v>0</v>
      </c>
      <c r="BI498">
        <v>0</v>
      </c>
      <c r="BJ498">
        <v>1</v>
      </c>
      <c r="BK498" t="s">
        <v>2152</v>
      </c>
      <c r="BL498">
        <v>8.8620000000000001</v>
      </c>
      <c r="BM498">
        <v>8.8620000000000001</v>
      </c>
      <c r="BN498" t="s">
        <v>425</v>
      </c>
      <c r="BO498" s="1">
        <v>0.562037037037037</v>
      </c>
      <c r="BP498" s="3">
        <f t="shared" si="46"/>
        <v>1.0153052886406964</v>
      </c>
      <c r="BQ498" s="3">
        <f t="shared" si="47"/>
        <v>0.99074513766102534</v>
      </c>
    </row>
    <row r="499" spans="1:69" hidden="1" x14ac:dyDescent="0.35">
      <c r="A499">
        <v>497</v>
      </c>
      <c r="B499">
        <v>4153</v>
      </c>
      <c r="D499">
        <v>5</v>
      </c>
      <c r="E499">
        <v>8</v>
      </c>
      <c r="G499">
        <v>16335</v>
      </c>
      <c r="I499" t="s">
        <v>62</v>
      </c>
      <c r="L499" t="s">
        <v>426</v>
      </c>
      <c r="M499">
        <v>9.83</v>
      </c>
      <c r="N499">
        <v>39.700000000000003</v>
      </c>
      <c r="O499">
        <v>9.24</v>
      </c>
      <c r="P499" s="3">
        <f t="shared" si="42"/>
        <v>0.9399796541200407</v>
      </c>
      <c r="Q499">
        <v>32.5</v>
      </c>
      <c r="R499" s="3">
        <f t="shared" si="43"/>
        <v>0.81863979848866497</v>
      </c>
      <c r="S499">
        <v>300</v>
      </c>
      <c r="T499">
        <v>9.6270000000000007</v>
      </c>
      <c r="U499">
        <v>39.53</v>
      </c>
      <c r="V499">
        <v>9.1999999999999993</v>
      </c>
      <c r="W499" s="3">
        <f t="shared" si="44"/>
        <v>0.95564558013919176</v>
      </c>
      <c r="X499">
        <v>32.03</v>
      </c>
      <c r="Y499" s="3">
        <f t="shared" si="45"/>
        <v>0.81027068049582596</v>
      </c>
      <c r="Z499">
        <v>294.60000000000002</v>
      </c>
      <c r="AA499">
        <v>77.400000000000006</v>
      </c>
      <c r="AB499">
        <v>24.9</v>
      </c>
      <c r="AC499" t="s">
        <v>64</v>
      </c>
      <c r="AE499" t="s">
        <v>65</v>
      </c>
      <c r="AF499" t="s">
        <v>66</v>
      </c>
      <c r="AG499" t="s">
        <v>427</v>
      </c>
      <c r="AH499" s="1">
        <v>0.42001157407407408</v>
      </c>
      <c r="AI499" t="s">
        <v>68</v>
      </c>
      <c r="AJ499" t="s">
        <v>69</v>
      </c>
      <c r="AO499">
        <v>7.7229999999999999</v>
      </c>
      <c r="AP499">
        <v>41.420999999999999</v>
      </c>
      <c r="AQ499">
        <v>9.6</v>
      </c>
      <c r="AR499">
        <v>1.93</v>
      </c>
      <c r="AS499">
        <v>37.235999999999997</v>
      </c>
      <c r="AT499">
        <v>51.2</v>
      </c>
      <c r="AY499">
        <v>2.36</v>
      </c>
      <c r="AZ499" t="s">
        <v>427</v>
      </c>
      <c r="BB499" t="s">
        <v>427</v>
      </c>
      <c r="BD499" t="s">
        <v>68</v>
      </c>
      <c r="BE499" t="s">
        <v>2153</v>
      </c>
      <c r="BF499" t="s">
        <v>2154</v>
      </c>
      <c r="BG499" t="s">
        <v>2155</v>
      </c>
      <c r="BH499">
        <v>0</v>
      </c>
      <c r="BI499">
        <v>0</v>
      </c>
      <c r="BJ499">
        <v>1</v>
      </c>
      <c r="BK499" t="s">
        <v>2156</v>
      </c>
      <c r="BL499">
        <v>8.8620000000000001</v>
      </c>
      <c r="BM499">
        <v>8.8620000000000001</v>
      </c>
      <c r="BN499" t="s">
        <v>425</v>
      </c>
      <c r="BO499" s="1">
        <v>0.54777777777777781</v>
      </c>
      <c r="BP499" s="3">
        <f t="shared" si="46"/>
        <v>1.0166662394770838</v>
      </c>
      <c r="BQ499" s="3">
        <f t="shared" si="47"/>
        <v>0.98977680048259353</v>
      </c>
    </row>
    <row r="500" spans="1:69" hidden="1" x14ac:dyDescent="0.35">
      <c r="A500">
        <v>498</v>
      </c>
      <c r="B500">
        <v>4151</v>
      </c>
      <c r="D500">
        <v>5</v>
      </c>
      <c r="E500">
        <v>8</v>
      </c>
      <c r="G500">
        <v>16335</v>
      </c>
      <c r="I500" t="s">
        <v>62</v>
      </c>
      <c r="L500" t="s">
        <v>426</v>
      </c>
      <c r="M500">
        <v>9.83</v>
      </c>
      <c r="N500">
        <v>39.700000000000003</v>
      </c>
      <c r="O500">
        <v>9.24</v>
      </c>
      <c r="P500" s="3">
        <f t="shared" si="42"/>
        <v>0.9399796541200407</v>
      </c>
      <c r="Q500">
        <v>32.5</v>
      </c>
      <c r="R500" s="3">
        <f t="shared" si="43"/>
        <v>0.81863979848866497</v>
      </c>
      <c r="S500">
        <v>300</v>
      </c>
      <c r="T500">
        <v>9.6440000000000001</v>
      </c>
      <c r="U500">
        <v>39.6</v>
      </c>
      <c r="V500">
        <v>9.2119999999999997</v>
      </c>
      <c r="W500" s="3">
        <f t="shared" si="44"/>
        <v>0.95520530900041478</v>
      </c>
      <c r="X500">
        <v>31.96</v>
      </c>
      <c r="Y500" s="3">
        <f t="shared" si="45"/>
        <v>0.80707070707070705</v>
      </c>
      <c r="Z500">
        <v>294.39999999999998</v>
      </c>
      <c r="AA500">
        <v>77.099999999999994</v>
      </c>
      <c r="AB500">
        <v>25</v>
      </c>
      <c r="AC500" t="s">
        <v>64</v>
      </c>
      <c r="AE500" t="s">
        <v>65</v>
      </c>
      <c r="AF500" t="s">
        <v>66</v>
      </c>
      <c r="AG500" t="s">
        <v>427</v>
      </c>
      <c r="AH500" s="1">
        <v>0.41819444444444442</v>
      </c>
      <c r="AI500" t="s">
        <v>68</v>
      </c>
      <c r="AJ500" t="s">
        <v>69</v>
      </c>
      <c r="AO500">
        <v>7.7229999999999999</v>
      </c>
      <c r="AP500">
        <v>41.204000000000001</v>
      </c>
      <c r="AQ500">
        <v>9.6</v>
      </c>
      <c r="AR500">
        <v>1.9350000000000001</v>
      </c>
      <c r="AS500">
        <v>37.113</v>
      </c>
      <c r="AT500">
        <v>51.2</v>
      </c>
      <c r="AY500">
        <v>2.36</v>
      </c>
      <c r="AZ500" t="s">
        <v>427</v>
      </c>
      <c r="BB500" t="s">
        <v>427</v>
      </c>
      <c r="BD500" t="s">
        <v>68</v>
      </c>
      <c r="BE500" t="s">
        <v>2157</v>
      </c>
      <c r="BF500" t="s">
        <v>2158</v>
      </c>
      <c r="BG500" t="s">
        <v>2159</v>
      </c>
      <c r="BH500">
        <v>0</v>
      </c>
      <c r="BI500">
        <v>0</v>
      </c>
      <c r="BJ500">
        <v>1</v>
      </c>
      <c r="BK500" t="s">
        <v>2160</v>
      </c>
      <c r="BL500">
        <v>8.8620000000000001</v>
      </c>
      <c r="BM500">
        <v>8.8620000000000001</v>
      </c>
      <c r="BN500" t="s">
        <v>425</v>
      </c>
      <c r="BO500" s="1">
        <v>0.53025462962962966</v>
      </c>
      <c r="BP500" s="3">
        <f t="shared" si="46"/>
        <v>1.0161978557872378</v>
      </c>
      <c r="BQ500" s="3">
        <f t="shared" si="47"/>
        <v>0.98586790986790984</v>
      </c>
    </row>
    <row r="501" spans="1:69" hidden="1" x14ac:dyDescent="0.35">
      <c r="A501">
        <v>499</v>
      </c>
      <c r="B501">
        <v>4154</v>
      </c>
      <c r="D501">
        <v>5</v>
      </c>
      <c r="E501">
        <v>8</v>
      </c>
      <c r="G501">
        <v>16335</v>
      </c>
      <c r="I501" t="s">
        <v>62</v>
      </c>
      <c r="L501" t="s">
        <v>426</v>
      </c>
      <c r="M501">
        <v>9.83</v>
      </c>
      <c r="N501">
        <v>39.700000000000003</v>
      </c>
      <c r="O501">
        <v>9.24</v>
      </c>
      <c r="P501" s="3">
        <f t="shared" si="42"/>
        <v>0.9399796541200407</v>
      </c>
      <c r="Q501">
        <v>32.5</v>
      </c>
      <c r="R501" s="3">
        <f t="shared" si="43"/>
        <v>0.81863979848866497</v>
      </c>
      <c r="S501">
        <v>300</v>
      </c>
      <c r="T501">
        <v>9.66</v>
      </c>
      <c r="U501">
        <v>39.56</v>
      </c>
      <c r="V501">
        <v>9.2309999999999999</v>
      </c>
      <c r="W501" s="3">
        <f t="shared" si="44"/>
        <v>0.9555900621118012</v>
      </c>
      <c r="X501">
        <v>32.01</v>
      </c>
      <c r="Y501" s="3">
        <f t="shared" si="45"/>
        <v>0.80915065722952473</v>
      </c>
      <c r="Z501">
        <v>295.5</v>
      </c>
      <c r="AA501">
        <v>77.3</v>
      </c>
      <c r="AB501">
        <v>25.1</v>
      </c>
      <c r="AC501" t="s">
        <v>64</v>
      </c>
      <c r="AE501" t="s">
        <v>65</v>
      </c>
      <c r="AF501" t="s">
        <v>66</v>
      </c>
      <c r="AG501" t="s">
        <v>427</v>
      </c>
      <c r="AH501" s="1">
        <v>0.41908564814814814</v>
      </c>
      <c r="AI501" t="s">
        <v>68</v>
      </c>
      <c r="AJ501" t="s">
        <v>69</v>
      </c>
      <c r="AO501">
        <v>7.7279999999999998</v>
      </c>
      <c r="AP501">
        <v>41.091000000000001</v>
      </c>
      <c r="AQ501">
        <v>9.6</v>
      </c>
      <c r="AR501">
        <v>1.9350000000000001</v>
      </c>
      <c r="AS501">
        <v>36.924999999999997</v>
      </c>
      <c r="AT501">
        <v>51.2</v>
      </c>
      <c r="AY501">
        <v>2.36</v>
      </c>
      <c r="AZ501" t="s">
        <v>427</v>
      </c>
      <c r="BB501" t="s">
        <v>427</v>
      </c>
      <c r="BD501" t="s">
        <v>68</v>
      </c>
      <c r="BE501" t="s">
        <v>2161</v>
      </c>
      <c r="BF501" t="s">
        <v>2162</v>
      </c>
      <c r="BG501" t="s">
        <v>2163</v>
      </c>
      <c r="BH501">
        <v>0</v>
      </c>
      <c r="BI501">
        <v>0</v>
      </c>
      <c r="BJ501">
        <v>1</v>
      </c>
      <c r="BK501" t="s">
        <v>2164</v>
      </c>
      <c r="BL501">
        <v>8.8620000000000001</v>
      </c>
      <c r="BM501">
        <v>8.8620000000000001</v>
      </c>
      <c r="BN501" t="s">
        <v>425</v>
      </c>
      <c r="BO501" s="1">
        <v>0.55019675925925926</v>
      </c>
      <c r="BP501" s="3">
        <f t="shared" si="46"/>
        <v>1.0166071764674249</v>
      </c>
      <c r="BQ501" s="3">
        <f t="shared" si="47"/>
        <v>0.9884086489849887</v>
      </c>
    </row>
    <row r="502" spans="1:69" hidden="1" x14ac:dyDescent="0.35">
      <c r="A502">
        <v>500</v>
      </c>
      <c r="B502">
        <v>4158</v>
      </c>
      <c r="D502">
        <v>5</v>
      </c>
      <c r="E502">
        <v>8</v>
      </c>
      <c r="G502">
        <v>16335</v>
      </c>
      <c r="I502" t="s">
        <v>62</v>
      </c>
      <c r="L502" t="s">
        <v>426</v>
      </c>
      <c r="M502">
        <v>9.83</v>
      </c>
      <c r="N502">
        <v>39.700000000000003</v>
      </c>
      <c r="O502">
        <v>9.24</v>
      </c>
      <c r="P502" s="3">
        <f t="shared" si="42"/>
        <v>0.9399796541200407</v>
      </c>
      <c r="Q502">
        <v>32.5</v>
      </c>
      <c r="R502" s="3">
        <f t="shared" si="43"/>
        <v>0.81863979848866497</v>
      </c>
      <c r="S502">
        <v>300</v>
      </c>
      <c r="T502">
        <v>9.6440000000000001</v>
      </c>
      <c r="U502">
        <v>39.56</v>
      </c>
      <c r="V502">
        <v>9.2170000000000005</v>
      </c>
      <c r="W502" s="3">
        <f t="shared" si="44"/>
        <v>0.95572376607216925</v>
      </c>
      <c r="X502">
        <v>31.87</v>
      </c>
      <c r="Y502" s="3">
        <f t="shared" si="45"/>
        <v>0.8056117290192113</v>
      </c>
      <c r="Z502">
        <v>293.7</v>
      </c>
      <c r="AA502">
        <v>77</v>
      </c>
      <c r="AB502">
        <v>25</v>
      </c>
      <c r="AC502" t="s">
        <v>64</v>
      </c>
      <c r="AE502" t="s">
        <v>65</v>
      </c>
      <c r="AF502" t="s">
        <v>66</v>
      </c>
      <c r="AG502" t="s">
        <v>427</v>
      </c>
      <c r="AH502" s="1">
        <v>0.42288194444444444</v>
      </c>
      <c r="AI502" t="s">
        <v>68</v>
      </c>
      <c r="AJ502" t="s">
        <v>69</v>
      </c>
      <c r="AO502">
        <v>7.7229999999999999</v>
      </c>
      <c r="AP502">
        <v>41.241</v>
      </c>
      <c r="AQ502">
        <v>9.6</v>
      </c>
      <c r="AR502">
        <v>1.9350000000000001</v>
      </c>
      <c r="AS502">
        <v>36.963000000000001</v>
      </c>
      <c r="AT502">
        <v>51.2</v>
      </c>
      <c r="AY502">
        <v>2.36</v>
      </c>
      <c r="AZ502" t="s">
        <v>427</v>
      </c>
      <c r="BB502" t="s">
        <v>427</v>
      </c>
      <c r="BD502" t="s">
        <v>68</v>
      </c>
      <c r="BE502" t="s">
        <v>2165</v>
      </c>
      <c r="BF502" t="s">
        <v>2166</v>
      </c>
      <c r="BG502" t="s">
        <v>2167</v>
      </c>
      <c r="BH502">
        <v>0</v>
      </c>
      <c r="BI502">
        <v>0</v>
      </c>
      <c r="BJ502">
        <v>1</v>
      </c>
      <c r="BK502" t="s">
        <v>2168</v>
      </c>
      <c r="BL502">
        <v>8.8620000000000001</v>
      </c>
      <c r="BM502">
        <v>8.8620000000000001</v>
      </c>
      <c r="BN502" t="s">
        <v>425</v>
      </c>
      <c r="BO502" s="1">
        <v>0.56468750000000001</v>
      </c>
      <c r="BP502" s="3">
        <f t="shared" si="46"/>
        <v>1.0167494178018857</v>
      </c>
      <c r="BQ502" s="3">
        <f t="shared" si="47"/>
        <v>0.9840857120634674</v>
      </c>
    </row>
    <row r="503" spans="1:69" hidden="1" x14ac:dyDescent="0.35">
      <c r="A503">
        <v>501</v>
      </c>
      <c r="B503">
        <v>4159</v>
      </c>
      <c r="D503">
        <v>5</v>
      </c>
      <c r="E503">
        <v>8</v>
      </c>
      <c r="G503">
        <v>16335</v>
      </c>
      <c r="I503" t="s">
        <v>62</v>
      </c>
      <c r="L503" t="s">
        <v>426</v>
      </c>
      <c r="M503">
        <v>9.83</v>
      </c>
      <c r="N503">
        <v>39.700000000000003</v>
      </c>
      <c r="O503">
        <v>9.24</v>
      </c>
      <c r="P503" s="3">
        <f t="shared" si="42"/>
        <v>0.9399796541200407</v>
      </c>
      <c r="Q503">
        <v>32.5</v>
      </c>
      <c r="R503" s="3">
        <f t="shared" si="43"/>
        <v>0.81863979848866497</v>
      </c>
      <c r="S503">
        <v>300</v>
      </c>
      <c r="T503">
        <v>9.6489999999999991</v>
      </c>
      <c r="U503">
        <v>39.590000000000003</v>
      </c>
      <c r="V503">
        <v>9.2100000000000009</v>
      </c>
      <c r="W503" s="3">
        <f t="shared" si="44"/>
        <v>0.95450305731163865</v>
      </c>
      <c r="X503">
        <v>32.01</v>
      </c>
      <c r="Y503" s="3">
        <f t="shared" si="45"/>
        <v>0.8085375094720888</v>
      </c>
      <c r="Z503">
        <v>294.8</v>
      </c>
      <c r="AA503">
        <v>77.2</v>
      </c>
      <c r="AB503">
        <v>25.1</v>
      </c>
      <c r="AC503" t="s">
        <v>64</v>
      </c>
      <c r="AE503" t="s">
        <v>65</v>
      </c>
      <c r="AF503" t="s">
        <v>66</v>
      </c>
      <c r="AG503" t="s">
        <v>427</v>
      </c>
      <c r="AH503" s="1">
        <v>0.41568287037037038</v>
      </c>
      <c r="AI503" t="s">
        <v>68</v>
      </c>
      <c r="AJ503" t="s">
        <v>69</v>
      </c>
      <c r="AO503">
        <v>7.718</v>
      </c>
      <c r="AP503">
        <v>41.503999999999998</v>
      </c>
      <c r="AQ503">
        <v>9.6</v>
      </c>
      <c r="AR503">
        <v>1.93</v>
      </c>
      <c r="AS503">
        <v>37.301000000000002</v>
      </c>
      <c r="AT503">
        <v>51.2</v>
      </c>
      <c r="AY503">
        <v>2.36</v>
      </c>
      <c r="AZ503" t="s">
        <v>427</v>
      </c>
      <c r="BB503" t="s">
        <v>427</v>
      </c>
      <c r="BD503" t="s">
        <v>68</v>
      </c>
      <c r="BE503" t="s">
        <v>2169</v>
      </c>
      <c r="BF503" t="s">
        <v>2170</v>
      </c>
      <c r="BG503" t="s">
        <v>2171</v>
      </c>
      <c r="BH503">
        <v>0</v>
      </c>
      <c r="BI503">
        <v>0</v>
      </c>
      <c r="BJ503">
        <v>1</v>
      </c>
      <c r="BK503" t="s">
        <v>2172</v>
      </c>
      <c r="BL503">
        <v>8.8620000000000001</v>
      </c>
      <c r="BM503">
        <v>8.8620000000000001</v>
      </c>
      <c r="BN503" t="s">
        <v>425</v>
      </c>
      <c r="BO503" s="1">
        <v>0.56723379629629633</v>
      </c>
      <c r="BP503" s="3">
        <f t="shared" si="46"/>
        <v>1.0154507633521004</v>
      </c>
      <c r="BQ503" s="3">
        <f t="shared" si="47"/>
        <v>0.9876596654166746</v>
      </c>
    </row>
    <row r="504" spans="1:69" hidden="1" x14ac:dyDescent="0.35">
      <c r="A504">
        <v>502</v>
      </c>
      <c r="B504">
        <v>3713</v>
      </c>
      <c r="D504">
        <v>5</v>
      </c>
      <c r="E504">
        <v>5</v>
      </c>
      <c r="G504">
        <v>16394.400000000001</v>
      </c>
      <c r="I504" t="s">
        <v>182</v>
      </c>
      <c r="L504" t="s">
        <v>2173</v>
      </c>
      <c r="M504">
        <v>9.32</v>
      </c>
      <c r="N504">
        <v>37.9</v>
      </c>
      <c r="O504">
        <v>8.75</v>
      </c>
      <c r="P504" s="3">
        <f t="shared" si="42"/>
        <v>0.93884120171673813</v>
      </c>
      <c r="Q504">
        <v>30.8</v>
      </c>
      <c r="R504" s="3">
        <f t="shared" si="43"/>
        <v>0.81266490765171506</v>
      </c>
      <c r="S504">
        <v>270</v>
      </c>
      <c r="T504">
        <v>9.1790000000000003</v>
      </c>
      <c r="U504">
        <v>38.049999999999997</v>
      </c>
      <c r="V504">
        <v>8.7100000000000009</v>
      </c>
      <c r="W504" s="3">
        <f t="shared" si="44"/>
        <v>0.94890510948905116</v>
      </c>
      <c r="X504">
        <v>30.85</v>
      </c>
      <c r="Y504" s="3">
        <f t="shared" si="45"/>
        <v>0.81077529566360063</v>
      </c>
      <c r="Z504">
        <v>268.7</v>
      </c>
      <c r="AA504">
        <v>76.900000000000006</v>
      </c>
      <c r="AB504">
        <v>24.9</v>
      </c>
      <c r="AC504" t="s">
        <v>64</v>
      </c>
      <c r="AE504" t="s">
        <v>65</v>
      </c>
      <c r="AF504" t="s">
        <v>66</v>
      </c>
      <c r="AG504" s="2">
        <v>44198</v>
      </c>
      <c r="AH504" s="1">
        <v>0.65043981481481483</v>
      </c>
      <c r="AI504" t="s">
        <v>68</v>
      </c>
      <c r="AJ504" t="s">
        <v>69</v>
      </c>
      <c r="AO504">
        <v>7.3380000000000001</v>
      </c>
      <c r="AP504">
        <v>38.99</v>
      </c>
      <c r="AQ504">
        <v>38.4</v>
      </c>
      <c r="AR504">
        <v>1.835</v>
      </c>
      <c r="AS504">
        <v>35.011000000000003</v>
      </c>
      <c r="AT504">
        <v>153.6</v>
      </c>
      <c r="AY504">
        <v>2.36</v>
      </c>
      <c r="AZ504" s="2">
        <v>44229</v>
      </c>
      <c r="BB504" s="2">
        <v>44229</v>
      </c>
      <c r="BD504" t="s">
        <v>68</v>
      </c>
      <c r="BE504" t="s">
        <v>2174</v>
      </c>
      <c r="BF504" t="s">
        <v>2175</v>
      </c>
      <c r="BG504" t="s">
        <v>2176</v>
      </c>
      <c r="BH504">
        <v>0</v>
      </c>
      <c r="BI504">
        <v>1</v>
      </c>
      <c r="BJ504">
        <v>2</v>
      </c>
      <c r="BK504" t="s">
        <v>2177</v>
      </c>
      <c r="BL504">
        <v>8.8620000000000001</v>
      </c>
      <c r="BM504">
        <v>9.0256000000000007</v>
      </c>
      <c r="BN504" t="s">
        <v>2178</v>
      </c>
      <c r="BO504" s="1">
        <v>0.60638888888888887</v>
      </c>
      <c r="BP504" s="3">
        <f t="shared" si="46"/>
        <v>1.0107194994786237</v>
      </c>
      <c r="BQ504" s="3">
        <f t="shared" si="47"/>
        <v>0.99767479563800199</v>
      </c>
    </row>
    <row r="505" spans="1:69" hidden="1" x14ac:dyDescent="0.35">
      <c r="A505">
        <v>503</v>
      </c>
      <c r="B505">
        <v>3713</v>
      </c>
      <c r="D505">
        <v>5</v>
      </c>
      <c r="E505">
        <v>5</v>
      </c>
      <c r="G505">
        <v>16394.400000000001</v>
      </c>
      <c r="I505" t="s">
        <v>182</v>
      </c>
      <c r="L505" t="s">
        <v>2179</v>
      </c>
      <c r="M505">
        <v>9.32</v>
      </c>
      <c r="N505">
        <v>37.9</v>
      </c>
      <c r="O505">
        <v>8.75</v>
      </c>
      <c r="P505" s="3">
        <f t="shared" si="42"/>
        <v>0.93884120171673813</v>
      </c>
      <c r="Q505">
        <v>30.8</v>
      </c>
      <c r="R505" s="3">
        <f t="shared" si="43"/>
        <v>0.81266490765171506</v>
      </c>
      <c r="S505">
        <v>270</v>
      </c>
      <c r="T505">
        <v>9.1890000000000001</v>
      </c>
      <c r="U505">
        <v>38.08</v>
      </c>
      <c r="V505">
        <v>8.7260000000000009</v>
      </c>
      <c r="W505" s="3">
        <f t="shared" si="44"/>
        <v>0.94961366851670481</v>
      </c>
      <c r="X505">
        <v>30.99</v>
      </c>
      <c r="Y505" s="3">
        <f t="shared" si="45"/>
        <v>0.81381302521008403</v>
      </c>
      <c r="Z505">
        <v>270.39999999999998</v>
      </c>
      <c r="AA505">
        <v>77.3</v>
      </c>
      <c r="AB505">
        <v>24.8</v>
      </c>
      <c r="AC505" t="s">
        <v>64</v>
      </c>
      <c r="AE505" t="s">
        <v>65</v>
      </c>
      <c r="AF505" t="s">
        <v>66</v>
      </c>
      <c r="AG505" t="s">
        <v>1105</v>
      </c>
      <c r="AH505" s="1">
        <v>0.41844907407407406</v>
      </c>
      <c r="AI505" t="s">
        <v>68</v>
      </c>
      <c r="AJ505" t="s">
        <v>69</v>
      </c>
      <c r="AO505">
        <v>7.3579999999999997</v>
      </c>
      <c r="AP505">
        <v>39.47</v>
      </c>
      <c r="AQ505">
        <v>38.4</v>
      </c>
      <c r="AR505">
        <v>1.84</v>
      </c>
      <c r="AS505">
        <v>35.499000000000002</v>
      </c>
      <c r="AT505">
        <v>153.6</v>
      </c>
      <c r="AY505">
        <v>2.36</v>
      </c>
      <c r="AZ505" t="s">
        <v>185</v>
      </c>
      <c r="BB505" t="s">
        <v>185</v>
      </c>
      <c r="BD505" t="s">
        <v>68</v>
      </c>
      <c r="BE505" t="s">
        <v>2180</v>
      </c>
      <c r="BF505" t="s">
        <v>2181</v>
      </c>
      <c r="BG505" t="s">
        <v>2182</v>
      </c>
      <c r="BH505">
        <v>0</v>
      </c>
      <c r="BI505">
        <v>0</v>
      </c>
      <c r="BJ505">
        <v>2</v>
      </c>
      <c r="BK505" t="s">
        <v>2183</v>
      </c>
      <c r="BL505">
        <v>8.8620000000000001</v>
      </c>
      <c r="BM505">
        <v>9.0256000000000007</v>
      </c>
      <c r="BN505" t="s">
        <v>2178</v>
      </c>
      <c r="BO505" s="1">
        <v>0.60638888888888887</v>
      </c>
      <c r="BP505" s="3">
        <f t="shared" si="46"/>
        <v>1.011474216065793</v>
      </c>
      <c r="BQ505" s="3">
        <f t="shared" si="47"/>
        <v>1.0014127810214994</v>
      </c>
    </row>
    <row r="506" spans="1:69" hidden="1" x14ac:dyDescent="0.35">
      <c r="A506">
        <v>504</v>
      </c>
      <c r="B506">
        <v>3706</v>
      </c>
      <c r="D506">
        <v>5</v>
      </c>
      <c r="E506">
        <v>5</v>
      </c>
      <c r="G506">
        <v>16394.400000000001</v>
      </c>
      <c r="I506" t="s">
        <v>182</v>
      </c>
      <c r="L506" t="s">
        <v>2173</v>
      </c>
      <c r="M506">
        <v>9.32</v>
      </c>
      <c r="N506">
        <v>37.9</v>
      </c>
      <c r="O506">
        <v>8.75</v>
      </c>
      <c r="P506" s="3">
        <f t="shared" si="42"/>
        <v>0.93884120171673813</v>
      </c>
      <c r="Q506">
        <v>30.8</v>
      </c>
      <c r="R506" s="3">
        <f t="shared" si="43"/>
        <v>0.81266490765171506</v>
      </c>
      <c r="S506">
        <v>270</v>
      </c>
      <c r="T506">
        <v>9.1449999999999996</v>
      </c>
      <c r="U506">
        <v>37.909999999999997</v>
      </c>
      <c r="V506">
        <v>8.6750000000000007</v>
      </c>
      <c r="W506" s="3">
        <f t="shared" si="44"/>
        <v>0.9486057955166759</v>
      </c>
      <c r="X506">
        <v>30.78</v>
      </c>
      <c r="Y506" s="3">
        <f t="shared" si="45"/>
        <v>0.81192297546821435</v>
      </c>
      <c r="Z506">
        <v>267</v>
      </c>
      <c r="AA506">
        <v>77</v>
      </c>
      <c r="AB506">
        <v>24.7</v>
      </c>
      <c r="AC506" t="s">
        <v>64</v>
      </c>
      <c r="AE506" t="s">
        <v>65</v>
      </c>
      <c r="AF506" t="s">
        <v>66</v>
      </c>
      <c r="AG506" s="2">
        <v>44198</v>
      </c>
      <c r="AH506" s="1">
        <v>0.64839120370370373</v>
      </c>
      <c r="AI506" t="s">
        <v>68</v>
      </c>
      <c r="AJ506" t="s">
        <v>69</v>
      </c>
      <c r="AO506">
        <v>7.3330000000000002</v>
      </c>
      <c r="AP506">
        <v>38.951999999999998</v>
      </c>
      <c r="AQ506">
        <v>38.4</v>
      </c>
      <c r="AR506">
        <v>1.835</v>
      </c>
      <c r="AS506">
        <v>34.973999999999997</v>
      </c>
      <c r="AT506">
        <v>153.6</v>
      </c>
      <c r="AY506">
        <v>2.36</v>
      </c>
      <c r="AZ506" s="2">
        <v>44229</v>
      </c>
      <c r="BB506" s="2">
        <v>44229</v>
      </c>
      <c r="BD506" t="s">
        <v>68</v>
      </c>
      <c r="BE506" t="s">
        <v>2184</v>
      </c>
      <c r="BF506" t="s">
        <v>2185</v>
      </c>
      <c r="BG506" t="s">
        <v>2186</v>
      </c>
      <c r="BH506">
        <v>0</v>
      </c>
      <c r="BI506">
        <v>0</v>
      </c>
      <c r="BJ506">
        <v>1</v>
      </c>
      <c r="BK506" t="s">
        <v>2187</v>
      </c>
      <c r="BL506">
        <v>8.8620000000000001</v>
      </c>
      <c r="BM506">
        <v>9.0256000000000007</v>
      </c>
      <c r="BN506" t="s">
        <v>2178</v>
      </c>
      <c r="BO506" s="1">
        <v>0.62223379629629627</v>
      </c>
      <c r="BP506" s="3">
        <f t="shared" si="46"/>
        <v>1.0104006873389051</v>
      </c>
      <c r="BQ506" s="3">
        <f t="shared" si="47"/>
        <v>0.999087037994978</v>
      </c>
    </row>
    <row r="507" spans="1:69" hidden="1" x14ac:dyDescent="0.35">
      <c r="A507">
        <v>505</v>
      </c>
      <c r="B507">
        <v>3689</v>
      </c>
      <c r="D507">
        <v>5</v>
      </c>
      <c r="E507">
        <v>5</v>
      </c>
      <c r="G507">
        <v>16394.400000000001</v>
      </c>
      <c r="I507" t="s">
        <v>182</v>
      </c>
      <c r="L507" t="s">
        <v>2173</v>
      </c>
      <c r="M507">
        <v>9.32</v>
      </c>
      <c r="N507">
        <v>37.9</v>
      </c>
      <c r="O507">
        <v>8.75</v>
      </c>
      <c r="P507" s="3">
        <f t="shared" si="42"/>
        <v>0.93884120171673813</v>
      </c>
      <c r="Q507">
        <v>30.8</v>
      </c>
      <c r="R507" s="3">
        <f t="shared" si="43"/>
        <v>0.81266490765171506</v>
      </c>
      <c r="S507">
        <v>270</v>
      </c>
      <c r="T507">
        <v>9.1539999999999999</v>
      </c>
      <c r="U507">
        <v>37.92</v>
      </c>
      <c r="V507">
        <v>8.6769999999999996</v>
      </c>
      <c r="W507" s="3">
        <f t="shared" si="44"/>
        <v>0.94789163207341054</v>
      </c>
      <c r="X507">
        <v>30.56</v>
      </c>
      <c r="Y507" s="3">
        <f t="shared" si="45"/>
        <v>0.80590717299578052</v>
      </c>
      <c r="Z507">
        <v>265.2</v>
      </c>
      <c r="AA507">
        <v>76.400000000000006</v>
      </c>
      <c r="AB507">
        <v>25.1</v>
      </c>
      <c r="AC507" t="s">
        <v>64</v>
      </c>
      <c r="AE507" t="s">
        <v>65</v>
      </c>
      <c r="AF507" t="s">
        <v>66</v>
      </c>
      <c r="AG507" s="2">
        <v>44198</v>
      </c>
      <c r="AH507" s="1">
        <v>0.63802083333333337</v>
      </c>
      <c r="AI507" t="s">
        <v>68</v>
      </c>
      <c r="AJ507" t="s">
        <v>69</v>
      </c>
      <c r="AO507">
        <v>7.3380000000000001</v>
      </c>
      <c r="AP507">
        <v>39.103000000000002</v>
      </c>
      <c r="AQ507">
        <v>38.4</v>
      </c>
      <c r="AR507">
        <v>1.835</v>
      </c>
      <c r="AS507">
        <v>35.49</v>
      </c>
      <c r="AT507">
        <v>150.6</v>
      </c>
      <c r="AY507">
        <v>2.36</v>
      </c>
      <c r="AZ507" s="2">
        <v>44229</v>
      </c>
      <c r="BB507" s="2">
        <v>44229</v>
      </c>
      <c r="BD507" t="s">
        <v>68</v>
      </c>
      <c r="BE507" t="s">
        <v>2188</v>
      </c>
      <c r="BF507" t="s">
        <v>2189</v>
      </c>
      <c r="BG507" t="s">
        <v>2190</v>
      </c>
      <c r="BH507">
        <v>0</v>
      </c>
      <c r="BI507">
        <v>1</v>
      </c>
      <c r="BJ507">
        <v>2</v>
      </c>
      <c r="BK507" t="s">
        <v>2191</v>
      </c>
      <c r="BL507">
        <v>8.8620000000000001</v>
      </c>
      <c r="BM507">
        <v>9.0256000000000007</v>
      </c>
      <c r="BN507" t="s">
        <v>2178</v>
      </c>
      <c r="BO507" s="1">
        <v>0.45408564814814817</v>
      </c>
      <c r="BP507" s="3">
        <f t="shared" si="46"/>
        <v>1.0096400012484785</v>
      </c>
      <c r="BQ507" s="3">
        <f t="shared" si="47"/>
        <v>0.99168447586169095</v>
      </c>
    </row>
    <row r="508" spans="1:69" hidden="1" x14ac:dyDescent="0.35">
      <c r="A508">
        <v>506</v>
      </c>
      <c r="B508">
        <v>3689</v>
      </c>
      <c r="D508">
        <v>5</v>
      </c>
      <c r="E508">
        <v>5</v>
      </c>
      <c r="G508">
        <v>16394.400000000001</v>
      </c>
      <c r="I508" t="s">
        <v>182</v>
      </c>
      <c r="L508" t="s">
        <v>2179</v>
      </c>
      <c r="M508">
        <v>9.32</v>
      </c>
      <c r="N508">
        <v>37.9</v>
      </c>
      <c r="O508">
        <v>8.75</v>
      </c>
      <c r="P508" s="3">
        <f t="shared" si="42"/>
        <v>0.93884120171673813</v>
      </c>
      <c r="Q508">
        <v>30.8</v>
      </c>
      <c r="R508" s="3">
        <f t="shared" si="43"/>
        <v>0.81266490765171506</v>
      </c>
      <c r="S508">
        <v>270</v>
      </c>
      <c r="T508">
        <v>9.1809999999999992</v>
      </c>
      <c r="U508">
        <v>38.01</v>
      </c>
      <c r="V508">
        <v>8.7080000000000002</v>
      </c>
      <c r="W508" s="3">
        <f t="shared" si="44"/>
        <v>0.94848055767345618</v>
      </c>
      <c r="X508">
        <v>30.91</v>
      </c>
      <c r="Y508" s="3">
        <f t="shared" si="45"/>
        <v>0.81320705077611155</v>
      </c>
      <c r="Z508">
        <v>269.2</v>
      </c>
      <c r="AA508">
        <v>77.099999999999994</v>
      </c>
      <c r="AB508">
        <v>24.9</v>
      </c>
      <c r="AC508" t="s">
        <v>64</v>
      </c>
      <c r="AE508" t="s">
        <v>65</v>
      </c>
      <c r="AF508" t="s">
        <v>66</v>
      </c>
      <c r="AG508" t="s">
        <v>1105</v>
      </c>
      <c r="AH508" s="1">
        <v>0.43436342592592592</v>
      </c>
      <c r="AI508" t="s">
        <v>68</v>
      </c>
      <c r="AJ508" t="s">
        <v>69</v>
      </c>
      <c r="AO508">
        <v>7.3579999999999997</v>
      </c>
      <c r="AP508">
        <v>39.177</v>
      </c>
      <c r="AQ508">
        <v>38.4</v>
      </c>
      <c r="AR508">
        <v>1.84</v>
      </c>
      <c r="AS508">
        <v>35.274000000000001</v>
      </c>
      <c r="AT508">
        <v>153.6</v>
      </c>
      <c r="AY508">
        <v>2.36</v>
      </c>
      <c r="AZ508" t="s">
        <v>185</v>
      </c>
      <c r="BB508" t="s">
        <v>185</v>
      </c>
      <c r="BD508" t="s">
        <v>68</v>
      </c>
      <c r="BE508" t="s">
        <v>2192</v>
      </c>
      <c r="BF508" t="s">
        <v>2193</v>
      </c>
      <c r="BG508" t="s">
        <v>2194</v>
      </c>
      <c r="BH508">
        <v>0</v>
      </c>
      <c r="BI508">
        <v>0</v>
      </c>
      <c r="BJ508">
        <v>2</v>
      </c>
      <c r="BK508" t="s">
        <v>2195</v>
      </c>
      <c r="BL508">
        <v>8.8620000000000001</v>
      </c>
      <c r="BM508">
        <v>9.0256000000000007</v>
      </c>
      <c r="BN508" t="s">
        <v>2178</v>
      </c>
      <c r="BO508" s="1">
        <v>0.45408564814814817</v>
      </c>
      <c r="BP508" s="3">
        <f t="shared" si="46"/>
        <v>1.0102672911447557</v>
      </c>
      <c r="BQ508" s="3">
        <f t="shared" si="47"/>
        <v>1.0006671176757995</v>
      </c>
    </row>
    <row r="509" spans="1:69" hidden="1" x14ac:dyDescent="0.35">
      <c r="A509">
        <v>507</v>
      </c>
      <c r="B509">
        <v>3709</v>
      </c>
      <c r="D509">
        <v>5</v>
      </c>
      <c r="E509">
        <v>5</v>
      </c>
      <c r="G509">
        <v>16394.400000000001</v>
      </c>
      <c r="I509" t="s">
        <v>182</v>
      </c>
      <c r="L509" t="s">
        <v>2173</v>
      </c>
      <c r="M509">
        <v>9.32</v>
      </c>
      <c r="N509">
        <v>37.9</v>
      </c>
      <c r="O509">
        <v>8.75</v>
      </c>
      <c r="P509" s="3">
        <f t="shared" si="42"/>
        <v>0.93884120171673813</v>
      </c>
      <c r="Q509">
        <v>30.8</v>
      </c>
      <c r="R509" s="3">
        <f t="shared" si="43"/>
        <v>0.81266490765171506</v>
      </c>
      <c r="S509">
        <v>270</v>
      </c>
      <c r="T509">
        <v>9.1769999999999996</v>
      </c>
      <c r="U509">
        <v>38</v>
      </c>
      <c r="V509">
        <v>8.7059999999999995</v>
      </c>
      <c r="W509" s="3">
        <f t="shared" si="44"/>
        <v>0.94867603792088917</v>
      </c>
      <c r="X509">
        <v>30.77</v>
      </c>
      <c r="Y509" s="3">
        <f t="shared" si="45"/>
        <v>0.8097368421052632</v>
      </c>
      <c r="Z509">
        <v>267.89999999999998</v>
      </c>
      <c r="AA509">
        <v>76.8</v>
      </c>
      <c r="AB509">
        <v>24.8</v>
      </c>
      <c r="AC509" t="s">
        <v>64</v>
      </c>
      <c r="AE509" t="s">
        <v>65</v>
      </c>
      <c r="AF509" t="s">
        <v>66</v>
      </c>
      <c r="AG509" s="2">
        <v>44198</v>
      </c>
      <c r="AH509" s="1">
        <v>0.64976851851851847</v>
      </c>
      <c r="AI509" t="s">
        <v>68</v>
      </c>
      <c r="AJ509" t="s">
        <v>69</v>
      </c>
      <c r="AO509">
        <v>7.3380000000000001</v>
      </c>
      <c r="AP509">
        <v>39.177</v>
      </c>
      <c r="AQ509">
        <v>38.4</v>
      </c>
      <c r="AR509">
        <v>1.835</v>
      </c>
      <c r="AS509">
        <v>35.274000000000001</v>
      </c>
      <c r="AT509">
        <v>153.6</v>
      </c>
      <c r="AY509">
        <v>2.36</v>
      </c>
      <c r="AZ509" s="2">
        <v>44229</v>
      </c>
      <c r="BB509" s="2">
        <v>44229</v>
      </c>
      <c r="BD509" t="s">
        <v>68</v>
      </c>
      <c r="BE509" t="s">
        <v>2196</v>
      </c>
      <c r="BF509" t="s">
        <v>2197</v>
      </c>
      <c r="BG509" t="s">
        <v>2198</v>
      </c>
      <c r="BH509">
        <v>0</v>
      </c>
      <c r="BI509">
        <v>1</v>
      </c>
      <c r="BJ509">
        <v>2</v>
      </c>
      <c r="BK509" t="s">
        <v>2199</v>
      </c>
      <c r="BL509">
        <v>8.8620000000000001</v>
      </c>
      <c r="BM509">
        <v>9.0256000000000007</v>
      </c>
      <c r="BN509" t="s">
        <v>2178</v>
      </c>
      <c r="BO509" s="1">
        <v>0.61528935185185185</v>
      </c>
      <c r="BP509" s="3">
        <f t="shared" si="46"/>
        <v>1.0104755055340215</v>
      </c>
      <c r="BQ509" s="3">
        <f t="shared" si="47"/>
        <v>0.99639695830485309</v>
      </c>
    </row>
    <row r="510" spans="1:69" hidden="1" x14ac:dyDescent="0.35">
      <c r="A510">
        <v>508</v>
      </c>
      <c r="B510">
        <v>3709</v>
      </c>
      <c r="D510">
        <v>5</v>
      </c>
      <c r="E510">
        <v>5</v>
      </c>
      <c r="G510">
        <v>16394.400000000001</v>
      </c>
      <c r="I510" t="s">
        <v>182</v>
      </c>
      <c r="L510" t="s">
        <v>2179</v>
      </c>
      <c r="M510">
        <v>9.32</v>
      </c>
      <c r="N510">
        <v>37.9</v>
      </c>
      <c r="O510">
        <v>8.75</v>
      </c>
      <c r="P510" s="3">
        <f t="shared" si="42"/>
        <v>0.93884120171673813</v>
      </c>
      <c r="Q510">
        <v>30.8</v>
      </c>
      <c r="R510" s="3">
        <f t="shared" si="43"/>
        <v>0.81266490765171506</v>
      </c>
      <c r="S510">
        <v>270</v>
      </c>
      <c r="T510">
        <v>9.1910000000000007</v>
      </c>
      <c r="U510">
        <v>38.07</v>
      </c>
      <c r="V510">
        <v>8.7240000000000002</v>
      </c>
      <c r="W510" s="3">
        <f t="shared" si="44"/>
        <v>0.94918942443694909</v>
      </c>
      <c r="X510">
        <v>31.03</v>
      </c>
      <c r="Y510" s="3">
        <f t="shared" si="45"/>
        <v>0.81507748883635411</v>
      </c>
      <c r="Z510">
        <v>270.7</v>
      </c>
      <c r="AA510">
        <v>77.400000000000006</v>
      </c>
      <c r="AB510">
        <v>24.9</v>
      </c>
      <c r="AC510" t="s">
        <v>64</v>
      </c>
      <c r="AE510" t="s">
        <v>65</v>
      </c>
      <c r="AF510" t="s">
        <v>66</v>
      </c>
      <c r="AG510" t="s">
        <v>1105</v>
      </c>
      <c r="AH510" s="1">
        <v>0.42203703703703704</v>
      </c>
      <c r="AI510" t="s">
        <v>68</v>
      </c>
      <c r="AJ510" t="s">
        <v>69</v>
      </c>
      <c r="AO510">
        <v>7.3579999999999997</v>
      </c>
      <c r="AP510">
        <v>39.215000000000003</v>
      </c>
      <c r="AQ510">
        <v>38.4</v>
      </c>
      <c r="AR510">
        <v>1.84</v>
      </c>
      <c r="AS510">
        <v>35.4</v>
      </c>
      <c r="AT510">
        <v>3072</v>
      </c>
      <c r="AY510">
        <v>2.36</v>
      </c>
      <c r="AZ510" t="s">
        <v>185</v>
      </c>
      <c r="BB510" t="s">
        <v>185</v>
      </c>
      <c r="BD510" t="s">
        <v>68</v>
      </c>
      <c r="BE510" t="s">
        <v>2200</v>
      </c>
      <c r="BF510" t="s">
        <v>2201</v>
      </c>
      <c r="BG510" t="s">
        <v>2202</v>
      </c>
      <c r="BH510">
        <v>0</v>
      </c>
      <c r="BI510">
        <v>0</v>
      </c>
      <c r="BJ510">
        <v>2</v>
      </c>
      <c r="BK510" t="s">
        <v>2203</v>
      </c>
      <c r="BL510">
        <v>8.8620000000000001</v>
      </c>
      <c r="BM510">
        <v>9.0256000000000007</v>
      </c>
      <c r="BN510" t="s">
        <v>2178</v>
      </c>
      <c r="BO510" s="1">
        <v>0.61528935185185185</v>
      </c>
      <c r="BP510" s="3">
        <f t="shared" si="46"/>
        <v>1.0110223355145562</v>
      </c>
      <c r="BQ510" s="3">
        <f t="shared" si="47"/>
        <v>1.0029687281460331</v>
      </c>
    </row>
    <row r="511" spans="1:69" hidden="1" x14ac:dyDescent="0.35">
      <c r="A511">
        <v>509</v>
      </c>
      <c r="B511">
        <v>3685</v>
      </c>
      <c r="D511">
        <v>5</v>
      </c>
      <c r="E511">
        <v>5</v>
      </c>
      <c r="G511">
        <v>16394.400000000001</v>
      </c>
      <c r="I511" t="s">
        <v>182</v>
      </c>
      <c r="L511" t="s">
        <v>2173</v>
      </c>
      <c r="M511">
        <v>9.32</v>
      </c>
      <c r="N511">
        <v>37.9</v>
      </c>
      <c r="O511">
        <v>8.75</v>
      </c>
      <c r="P511" s="3">
        <f t="shared" si="42"/>
        <v>0.93884120171673813</v>
      </c>
      <c r="Q511">
        <v>30.8</v>
      </c>
      <c r="R511" s="3">
        <f t="shared" si="43"/>
        <v>0.81266490765171506</v>
      </c>
      <c r="S511">
        <v>270</v>
      </c>
      <c r="T511">
        <v>9.15</v>
      </c>
      <c r="U511">
        <v>37.92</v>
      </c>
      <c r="V511">
        <v>8.657</v>
      </c>
      <c r="W511" s="3">
        <f t="shared" si="44"/>
        <v>0.9461202185792349</v>
      </c>
      <c r="X511">
        <v>30.62</v>
      </c>
      <c r="Y511" s="3">
        <f t="shared" si="45"/>
        <v>0.80748945147679319</v>
      </c>
      <c r="Z511">
        <v>265.10000000000002</v>
      </c>
      <c r="AA511">
        <v>76.400000000000006</v>
      </c>
      <c r="AB511">
        <v>24.7</v>
      </c>
      <c r="AC511" t="s">
        <v>64</v>
      </c>
      <c r="AE511" t="s">
        <v>65</v>
      </c>
      <c r="AF511" t="s">
        <v>66</v>
      </c>
      <c r="AG511" s="2">
        <v>44198</v>
      </c>
      <c r="AH511" s="1">
        <v>0.63969907407407411</v>
      </c>
      <c r="AI511" t="s">
        <v>68</v>
      </c>
      <c r="AJ511" t="s">
        <v>69</v>
      </c>
      <c r="AO511">
        <v>7.3380000000000001</v>
      </c>
      <c r="AP511">
        <v>39.064999999999998</v>
      </c>
      <c r="AQ511">
        <v>38.4</v>
      </c>
      <c r="AR511">
        <v>1.835</v>
      </c>
      <c r="AS511">
        <v>34.936</v>
      </c>
      <c r="AT511">
        <v>153.6</v>
      </c>
      <c r="AY511">
        <v>2.36</v>
      </c>
      <c r="AZ511" s="2">
        <v>44229</v>
      </c>
      <c r="BB511" s="2">
        <v>44229</v>
      </c>
      <c r="BD511" t="s">
        <v>68</v>
      </c>
      <c r="BE511" t="s">
        <v>2204</v>
      </c>
      <c r="BF511" t="s">
        <v>2205</v>
      </c>
      <c r="BG511" t="s">
        <v>2206</v>
      </c>
      <c r="BH511">
        <v>0</v>
      </c>
      <c r="BI511">
        <v>1</v>
      </c>
      <c r="BJ511">
        <v>2</v>
      </c>
      <c r="BK511" t="s">
        <v>2207</v>
      </c>
      <c r="BL511">
        <v>8.8620000000000001</v>
      </c>
      <c r="BM511">
        <v>9.0256000000000007</v>
      </c>
      <c r="BN511" t="s">
        <v>2178</v>
      </c>
      <c r="BO511" s="1">
        <v>0.46379629629629632</v>
      </c>
      <c r="BP511" s="3">
        <f t="shared" si="46"/>
        <v>1.0077531928181109</v>
      </c>
      <c r="BQ511" s="3">
        <f t="shared" si="47"/>
        <v>0.99363150035618375</v>
      </c>
    </row>
    <row r="512" spans="1:69" hidden="1" x14ac:dyDescent="0.35">
      <c r="A512">
        <v>510</v>
      </c>
      <c r="B512">
        <v>3685</v>
      </c>
      <c r="D512">
        <v>5</v>
      </c>
      <c r="E512">
        <v>5</v>
      </c>
      <c r="G512">
        <v>16394.400000000001</v>
      </c>
      <c r="I512" t="s">
        <v>182</v>
      </c>
      <c r="L512" t="s">
        <v>2179</v>
      </c>
      <c r="M512">
        <v>9.32</v>
      </c>
      <c r="N512">
        <v>37.9</v>
      </c>
      <c r="O512">
        <v>8.75</v>
      </c>
      <c r="P512" s="3">
        <f t="shared" si="42"/>
        <v>0.93884120171673813</v>
      </c>
      <c r="Q512">
        <v>30.8</v>
      </c>
      <c r="R512" s="3">
        <f t="shared" si="43"/>
        <v>0.81266490765171506</v>
      </c>
      <c r="S512">
        <v>270</v>
      </c>
      <c r="T512">
        <v>9.1579999999999995</v>
      </c>
      <c r="U512">
        <v>37.99</v>
      </c>
      <c r="V512">
        <v>8.6850000000000005</v>
      </c>
      <c r="W512" s="3">
        <f t="shared" si="44"/>
        <v>0.9483511683773751</v>
      </c>
      <c r="X512">
        <v>30.91</v>
      </c>
      <c r="Y512" s="3">
        <f t="shared" si="45"/>
        <v>0.81363516714924977</v>
      </c>
      <c r="Z512">
        <v>268.5</v>
      </c>
      <c r="AA512">
        <v>77.2</v>
      </c>
      <c r="AB512">
        <v>24.8</v>
      </c>
      <c r="AC512" t="s">
        <v>64</v>
      </c>
      <c r="AE512" t="s">
        <v>65</v>
      </c>
      <c r="AF512" t="s">
        <v>66</v>
      </c>
      <c r="AG512" t="s">
        <v>1105</v>
      </c>
      <c r="AH512" s="1">
        <v>0.43531249999999999</v>
      </c>
      <c r="AI512" t="s">
        <v>68</v>
      </c>
      <c r="AJ512" t="s">
        <v>69</v>
      </c>
      <c r="AO512">
        <v>7.3579999999999997</v>
      </c>
      <c r="AP512">
        <v>39.215000000000003</v>
      </c>
      <c r="AQ512">
        <v>38.4</v>
      </c>
      <c r="AR512">
        <v>1.845</v>
      </c>
      <c r="AS512">
        <v>35.198999999999998</v>
      </c>
      <c r="AT512">
        <v>153.6</v>
      </c>
      <c r="AY512">
        <v>2.36</v>
      </c>
      <c r="AZ512" t="s">
        <v>185</v>
      </c>
      <c r="BB512" t="s">
        <v>185</v>
      </c>
      <c r="BD512" t="s">
        <v>68</v>
      </c>
      <c r="BE512" t="s">
        <v>2208</v>
      </c>
      <c r="BF512" t="s">
        <v>2209</v>
      </c>
      <c r="BG512" t="s">
        <v>2210</v>
      </c>
      <c r="BH512">
        <v>0</v>
      </c>
      <c r="BI512">
        <v>0</v>
      </c>
      <c r="BJ512">
        <v>2</v>
      </c>
      <c r="BK512" t="s">
        <v>2211</v>
      </c>
      <c r="BL512">
        <v>8.8620000000000001</v>
      </c>
      <c r="BM512">
        <v>9.0256000000000007</v>
      </c>
      <c r="BN512" t="s">
        <v>2178</v>
      </c>
      <c r="BO512" s="1">
        <v>0.46379629629629632</v>
      </c>
      <c r="BP512" s="3">
        <f t="shared" si="46"/>
        <v>1.0101294730602441</v>
      </c>
      <c r="BQ512" s="3">
        <f t="shared" si="47"/>
        <v>1.0011939232128755</v>
      </c>
    </row>
    <row r="513" spans="1:69" hidden="1" x14ac:dyDescent="0.35">
      <c r="A513">
        <v>511</v>
      </c>
      <c r="B513">
        <v>3675</v>
      </c>
      <c r="D513">
        <v>5</v>
      </c>
      <c r="E513">
        <v>5</v>
      </c>
      <c r="G513">
        <v>16394.400000000001</v>
      </c>
      <c r="I513" t="s">
        <v>182</v>
      </c>
      <c r="L513" t="s">
        <v>2173</v>
      </c>
      <c r="M513">
        <v>9.32</v>
      </c>
      <c r="N513">
        <v>37.9</v>
      </c>
      <c r="O513">
        <v>8.75</v>
      </c>
      <c r="P513" s="3">
        <f t="shared" si="42"/>
        <v>0.93884120171673813</v>
      </c>
      <c r="Q513">
        <v>30.8</v>
      </c>
      <c r="R513" s="3">
        <f t="shared" si="43"/>
        <v>0.81266490765171506</v>
      </c>
      <c r="S513">
        <v>270</v>
      </c>
      <c r="T513">
        <v>9.1590000000000007</v>
      </c>
      <c r="U513">
        <v>37.97</v>
      </c>
      <c r="V513">
        <v>8.6750000000000007</v>
      </c>
      <c r="W513" s="3">
        <f t="shared" si="44"/>
        <v>0.94715580303526592</v>
      </c>
      <c r="X513">
        <v>30.59</v>
      </c>
      <c r="Y513" s="3">
        <f t="shared" si="45"/>
        <v>0.80563602844350801</v>
      </c>
      <c r="Z513">
        <v>265.39999999999998</v>
      </c>
      <c r="AA513">
        <v>76.3</v>
      </c>
      <c r="AB513">
        <v>24.6</v>
      </c>
      <c r="AC513" t="s">
        <v>64</v>
      </c>
      <c r="AE513" t="s">
        <v>65</v>
      </c>
      <c r="AF513" t="s">
        <v>66</v>
      </c>
      <c r="AG513" s="2">
        <v>44198</v>
      </c>
      <c r="AH513" s="1">
        <v>0.64109953703703704</v>
      </c>
      <c r="AI513" t="s">
        <v>68</v>
      </c>
      <c r="AJ513" t="s">
        <v>69</v>
      </c>
      <c r="AO513">
        <v>7.3380000000000001</v>
      </c>
      <c r="AP513">
        <v>39.402000000000001</v>
      </c>
      <c r="AQ513">
        <v>38.4</v>
      </c>
      <c r="AR513">
        <v>1.835</v>
      </c>
      <c r="AS513">
        <v>35.198999999999998</v>
      </c>
      <c r="AT513">
        <v>153.6</v>
      </c>
      <c r="AY513">
        <v>2.36</v>
      </c>
      <c r="AZ513" s="2">
        <v>44229</v>
      </c>
      <c r="BB513" s="2">
        <v>44229</v>
      </c>
      <c r="BD513" t="s">
        <v>68</v>
      </c>
      <c r="BE513" t="s">
        <v>2212</v>
      </c>
      <c r="BF513" t="s">
        <v>2213</v>
      </c>
      <c r="BG513" t="s">
        <v>2214</v>
      </c>
      <c r="BH513">
        <v>0</v>
      </c>
      <c r="BI513">
        <v>1</v>
      </c>
      <c r="BJ513">
        <v>2</v>
      </c>
      <c r="BK513" t="s">
        <v>2215</v>
      </c>
      <c r="BL513">
        <v>8.8620000000000001</v>
      </c>
      <c r="BM513">
        <v>9.0256000000000007</v>
      </c>
      <c r="BN513" t="s">
        <v>2178</v>
      </c>
      <c r="BO513" s="1">
        <v>0.49416666666666664</v>
      </c>
      <c r="BP513" s="3">
        <f t="shared" si="46"/>
        <v>1.0088562382044204</v>
      </c>
      <c r="BQ513" s="3">
        <f t="shared" si="47"/>
        <v>0.99135082720808287</v>
      </c>
    </row>
    <row r="514" spans="1:69" hidden="1" x14ac:dyDescent="0.35">
      <c r="A514">
        <v>512</v>
      </c>
      <c r="B514">
        <v>3675</v>
      </c>
      <c r="D514">
        <v>5</v>
      </c>
      <c r="E514">
        <v>5</v>
      </c>
      <c r="G514">
        <v>16394.400000000001</v>
      </c>
      <c r="I514" t="s">
        <v>182</v>
      </c>
      <c r="L514" t="s">
        <v>2179</v>
      </c>
      <c r="M514">
        <v>9.32</v>
      </c>
      <c r="N514">
        <v>37.9</v>
      </c>
      <c r="O514">
        <v>8.75</v>
      </c>
      <c r="P514" s="3">
        <f t="shared" si="42"/>
        <v>0.93884120171673813</v>
      </c>
      <c r="Q514">
        <v>30.8</v>
      </c>
      <c r="R514" s="3">
        <f t="shared" si="43"/>
        <v>0.81266490765171506</v>
      </c>
      <c r="S514">
        <v>270</v>
      </c>
      <c r="T514">
        <v>9.1809999999999992</v>
      </c>
      <c r="U514">
        <v>38.04</v>
      </c>
      <c r="V514">
        <v>8.7040000000000006</v>
      </c>
      <c r="W514" s="3">
        <f t="shared" si="44"/>
        <v>0.94804487528591674</v>
      </c>
      <c r="X514">
        <v>31</v>
      </c>
      <c r="Y514" s="3">
        <f t="shared" si="45"/>
        <v>0.81493165089379604</v>
      </c>
      <c r="Z514">
        <v>269.8</v>
      </c>
      <c r="AA514">
        <v>77.2</v>
      </c>
      <c r="AB514">
        <v>24.7</v>
      </c>
      <c r="AC514" t="s">
        <v>64</v>
      </c>
      <c r="AE514" t="s">
        <v>65</v>
      </c>
      <c r="AF514" t="s">
        <v>66</v>
      </c>
      <c r="AG514" t="s">
        <v>1105</v>
      </c>
      <c r="AH514" s="1">
        <v>0.43729166666666669</v>
      </c>
      <c r="AI514" t="s">
        <v>68</v>
      </c>
      <c r="AJ514" t="s">
        <v>69</v>
      </c>
      <c r="AO514">
        <v>7.3579999999999997</v>
      </c>
      <c r="AP514">
        <v>39.29</v>
      </c>
      <c r="AQ514">
        <v>38.4</v>
      </c>
      <c r="AR514">
        <v>1.845</v>
      </c>
      <c r="AS514">
        <v>35.348999999999997</v>
      </c>
      <c r="AT514">
        <v>51.2</v>
      </c>
      <c r="AY514">
        <v>2.36</v>
      </c>
      <c r="AZ514" t="s">
        <v>185</v>
      </c>
      <c r="BB514" t="s">
        <v>185</v>
      </c>
      <c r="BD514" t="s">
        <v>68</v>
      </c>
      <c r="BE514" t="s">
        <v>2216</v>
      </c>
      <c r="BF514" t="s">
        <v>2217</v>
      </c>
      <c r="BG514" t="s">
        <v>2218</v>
      </c>
      <c r="BH514">
        <v>0</v>
      </c>
      <c r="BI514">
        <v>0</v>
      </c>
      <c r="BJ514">
        <v>2</v>
      </c>
      <c r="BK514" t="s">
        <v>2219</v>
      </c>
      <c r="BL514">
        <v>8.8620000000000001</v>
      </c>
      <c r="BM514">
        <v>9.0256000000000007</v>
      </c>
      <c r="BN514" t="s">
        <v>2178</v>
      </c>
      <c r="BO514" s="1">
        <v>0.49416666666666664</v>
      </c>
      <c r="BP514" s="3">
        <f t="shared" si="46"/>
        <v>1.009803227161685</v>
      </c>
      <c r="BQ514" s="3">
        <f t="shared" si="47"/>
        <v>1.0027892717167166</v>
      </c>
    </row>
    <row r="515" spans="1:69" hidden="1" x14ac:dyDescent="0.35">
      <c r="A515">
        <v>513</v>
      </c>
      <c r="B515">
        <v>3699</v>
      </c>
      <c r="D515">
        <v>5</v>
      </c>
      <c r="E515">
        <v>5</v>
      </c>
      <c r="G515">
        <v>16394.400000000001</v>
      </c>
      <c r="I515" t="s">
        <v>182</v>
      </c>
      <c r="L515" t="s">
        <v>2220</v>
      </c>
      <c r="M515">
        <v>9.32</v>
      </c>
      <c r="N515">
        <v>37.9</v>
      </c>
      <c r="O515">
        <v>8.75</v>
      </c>
      <c r="P515" s="3">
        <f t="shared" ref="P515:P578" si="48">O515/M515</f>
        <v>0.93884120171673813</v>
      </c>
      <c r="Q515">
        <v>30.8</v>
      </c>
      <c r="R515" s="3">
        <f t="shared" ref="R515:R578" si="49">Q515/N515</f>
        <v>0.81266490765171506</v>
      </c>
      <c r="S515">
        <v>270</v>
      </c>
      <c r="T515">
        <v>9.1769999999999996</v>
      </c>
      <c r="U515">
        <v>37.950000000000003</v>
      </c>
      <c r="V515">
        <v>8.6869999999999994</v>
      </c>
      <c r="W515" s="3">
        <f t="shared" ref="W515:W578" si="50">V515/T515</f>
        <v>0.94660564454614793</v>
      </c>
      <c r="X515">
        <v>30.6</v>
      </c>
      <c r="Y515" s="3">
        <f t="shared" ref="Y515:Y578" si="51">X515/U515</f>
        <v>0.80632411067193677</v>
      </c>
      <c r="Z515">
        <v>265.8</v>
      </c>
      <c r="AA515">
        <v>76.3</v>
      </c>
      <c r="AB515">
        <v>24.7</v>
      </c>
      <c r="AC515" t="s">
        <v>64</v>
      </c>
      <c r="AE515" t="s">
        <v>65</v>
      </c>
      <c r="AF515" t="s">
        <v>66</v>
      </c>
      <c r="AG515" s="2">
        <v>44198</v>
      </c>
      <c r="AH515" s="1">
        <v>0.64167824074074076</v>
      </c>
      <c r="AI515" t="s">
        <v>68</v>
      </c>
      <c r="AJ515" t="s">
        <v>69</v>
      </c>
      <c r="AO515">
        <v>7.3380000000000001</v>
      </c>
      <c r="AP515">
        <v>39.252000000000002</v>
      </c>
      <c r="AQ515">
        <v>38.4</v>
      </c>
      <c r="AR515">
        <v>1.835</v>
      </c>
      <c r="AS515">
        <v>39.252000000000002</v>
      </c>
      <c r="AT515">
        <v>153.6</v>
      </c>
      <c r="AY515">
        <v>2.36</v>
      </c>
      <c r="AZ515" s="2">
        <v>44229</v>
      </c>
      <c r="BB515" s="2">
        <v>44229</v>
      </c>
      <c r="BD515" t="s">
        <v>68</v>
      </c>
      <c r="BE515" t="s">
        <v>2221</v>
      </c>
      <c r="BF515" t="s">
        <v>2222</v>
      </c>
      <c r="BG515" t="s">
        <v>2223</v>
      </c>
      <c r="BH515">
        <v>0</v>
      </c>
      <c r="BI515">
        <v>1</v>
      </c>
      <c r="BJ515">
        <v>2</v>
      </c>
      <c r="BK515" t="s">
        <v>2224</v>
      </c>
      <c r="BL515">
        <v>8.8620000000000001</v>
      </c>
      <c r="BM515">
        <v>9.0256000000000007</v>
      </c>
      <c r="BN515" s="2">
        <v>42743</v>
      </c>
      <c r="BO515" s="1">
        <v>0.33834490740740741</v>
      </c>
      <c r="BP515" s="3">
        <f t="shared" ref="BP515:BP578" si="52">W515/P515</f>
        <v>1.0082702408194399</v>
      </c>
      <c r="BQ515" s="3">
        <f t="shared" ref="BQ515:BQ578" si="53">Y515/R515</f>
        <v>0.99219752579436371</v>
      </c>
    </row>
    <row r="516" spans="1:69" hidden="1" x14ac:dyDescent="0.35">
      <c r="A516">
        <v>514</v>
      </c>
      <c r="B516">
        <v>3699</v>
      </c>
      <c r="D516">
        <v>5</v>
      </c>
      <c r="E516">
        <v>5</v>
      </c>
      <c r="G516">
        <v>16394.400000000001</v>
      </c>
      <c r="I516" t="s">
        <v>182</v>
      </c>
      <c r="L516" t="s">
        <v>1264</v>
      </c>
      <c r="M516">
        <v>9.32</v>
      </c>
      <c r="N516">
        <v>37.9</v>
      </c>
      <c r="O516">
        <v>8.75</v>
      </c>
      <c r="P516" s="3">
        <f t="shared" si="48"/>
        <v>0.93884120171673813</v>
      </c>
      <c r="Q516">
        <v>30.8</v>
      </c>
      <c r="R516" s="3">
        <f t="shared" si="49"/>
        <v>0.81266490765171506</v>
      </c>
      <c r="S516">
        <v>270</v>
      </c>
      <c r="T516">
        <v>9.1839999999999993</v>
      </c>
      <c r="U516">
        <v>38.01</v>
      </c>
      <c r="V516">
        <v>8.7080000000000002</v>
      </c>
      <c r="W516" s="3">
        <f t="shared" si="50"/>
        <v>0.94817073170731714</v>
      </c>
      <c r="X516">
        <v>30.87</v>
      </c>
      <c r="Y516" s="3">
        <f t="shared" si="51"/>
        <v>0.81215469613259672</v>
      </c>
      <c r="Z516">
        <v>268.8</v>
      </c>
      <c r="AA516">
        <v>77</v>
      </c>
      <c r="AB516">
        <v>24.8</v>
      </c>
      <c r="AC516" t="s">
        <v>64</v>
      </c>
      <c r="AE516" t="s">
        <v>65</v>
      </c>
      <c r="AF516" t="s">
        <v>66</v>
      </c>
      <c r="AG516" t="s">
        <v>1105</v>
      </c>
      <c r="AH516" s="1">
        <v>0.42697916666666669</v>
      </c>
      <c r="AI516" t="s">
        <v>68</v>
      </c>
      <c r="AJ516" t="s">
        <v>69</v>
      </c>
      <c r="AO516">
        <v>7.3579999999999997</v>
      </c>
      <c r="AP516">
        <v>39.402000000000001</v>
      </c>
      <c r="AQ516">
        <v>38.4</v>
      </c>
      <c r="AR516">
        <v>1.84</v>
      </c>
      <c r="AS516">
        <v>35.348999999999997</v>
      </c>
      <c r="AT516">
        <v>153.6</v>
      </c>
      <c r="AY516">
        <v>2.36</v>
      </c>
      <c r="AZ516" t="s">
        <v>185</v>
      </c>
      <c r="BB516" t="s">
        <v>185</v>
      </c>
      <c r="BD516" t="s">
        <v>68</v>
      </c>
      <c r="BE516" t="s">
        <v>2225</v>
      </c>
      <c r="BF516" t="s">
        <v>2226</v>
      </c>
      <c r="BG516" t="s">
        <v>2227</v>
      </c>
      <c r="BH516">
        <v>0</v>
      </c>
      <c r="BI516">
        <v>0</v>
      </c>
      <c r="BJ516">
        <v>2</v>
      </c>
      <c r="BK516" t="s">
        <v>2228</v>
      </c>
      <c r="BL516">
        <v>8.8620000000000001</v>
      </c>
      <c r="BM516">
        <v>9.0256000000000007</v>
      </c>
      <c r="BN516" s="2">
        <v>42743</v>
      </c>
      <c r="BO516" s="1">
        <v>0.33834490740740741</v>
      </c>
      <c r="BP516" s="3">
        <f t="shared" si="52"/>
        <v>1.0099372822299653</v>
      </c>
      <c r="BQ516" s="3">
        <f t="shared" si="53"/>
        <v>0.99937217478653939</v>
      </c>
    </row>
    <row r="517" spans="1:69" hidden="1" x14ac:dyDescent="0.35">
      <c r="A517">
        <v>515</v>
      </c>
      <c r="B517">
        <v>3680</v>
      </c>
      <c r="D517">
        <v>5</v>
      </c>
      <c r="E517">
        <v>5</v>
      </c>
      <c r="G517">
        <v>16394.400000000001</v>
      </c>
      <c r="I517" t="s">
        <v>182</v>
      </c>
      <c r="L517" t="s">
        <v>2173</v>
      </c>
      <c r="M517">
        <v>9.32</v>
      </c>
      <c r="N517">
        <v>37.9</v>
      </c>
      <c r="O517">
        <v>8.75</v>
      </c>
      <c r="P517" s="3">
        <f t="shared" si="48"/>
        <v>0.93884120171673813</v>
      </c>
      <c r="Q517">
        <v>30.8</v>
      </c>
      <c r="R517" s="3">
        <f t="shared" si="49"/>
        <v>0.81266490765171506</v>
      </c>
      <c r="S517">
        <v>270</v>
      </c>
      <c r="T517">
        <v>9.141</v>
      </c>
      <c r="U517">
        <v>37.94</v>
      </c>
      <c r="V517">
        <v>8.6750000000000007</v>
      </c>
      <c r="W517" s="3">
        <f t="shared" si="50"/>
        <v>0.94902089486927044</v>
      </c>
      <c r="X517">
        <v>30.52</v>
      </c>
      <c r="Y517" s="3">
        <f t="shared" si="51"/>
        <v>0.80442804428044279</v>
      </c>
      <c r="Z517">
        <v>264.7</v>
      </c>
      <c r="AA517">
        <v>76.3</v>
      </c>
      <c r="AB517">
        <v>24.7</v>
      </c>
      <c r="AC517" t="s">
        <v>64</v>
      </c>
      <c r="AE517" t="s">
        <v>65</v>
      </c>
      <c r="AF517" t="s">
        <v>66</v>
      </c>
      <c r="AG517" s="2">
        <v>44198</v>
      </c>
      <c r="AH517" s="1">
        <v>0.64035879629629633</v>
      </c>
      <c r="AI517" t="s">
        <v>68</v>
      </c>
      <c r="AJ517" t="s">
        <v>69</v>
      </c>
      <c r="AO517">
        <v>7.3380000000000001</v>
      </c>
      <c r="AP517">
        <v>39.252000000000002</v>
      </c>
      <c r="AQ517">
        <v>38.4</v>
      </c>
      <c r="AR517">
        <v>1.835</v>
      </c>
      <c r="AS517">
        <v>34.973999999999997</v>
      </c>
      <c r="AT517">
        <v>3072</v>
      </c>
      <c r="AY517">
        <v>2.36</v>
      </c>
      <c r="AZ517" s="2">
        <v>44229</v>
      </c>
      <c r="BB517" s="2">
        <v>44229</v>
      </c>
      <c r="BD517" t="s">
        <v>68</v>
      </c>
      <c r="BE517" t="s">
        <v>2229</v>
      </c>
      <c r="BF517" t="s">
        <v>2230</v>
      </c>
      <c r="BG517" t="s">
        <v>2231</v>
      </c>
      <c r="BH517">
        <v>0</v>
      </c>
      <c r="BI517">
        <v>1</v>
      </c>
      <c r="BJ517">
        <v>2</v>
      </c>
      <c r="BK517" t="s">
        <v>2232</v>
      </c>
      <c r="BL517">
        <v>8.8620000000000001</v>
      </c>
      <c r="BM517">
        <v>9.0256000000000007</v>
      </c>
      <c r="BN517" t="s">
        <v>2178</v>
      </c>
      <c r="BO517" s="1">
        <v>0.47695601851851854</v>
      </c>
      <c r="BP517" s="3">
        <f t="shared" si="52"/>
        <v>1.0108428274493257</v>
      </c>
      <c r="BQ517" s="3">
        <f t="shared" si="53"/>
        <v>0.98986437916327208</v>
      </c>
    </row>
    <row r="518" spans="1:69" hidden="1" x14ac:dyDescent="0.35">
      <c r="A518">
        <v>516</v>
      </c>
      <c r="B518">
        <v>3680</v>
      </c>
      <c r="D518">
        <v>5</v>
      </c>
      <c r="E518">
        <v>5</v>
      </c>
      <c r="G518">
        <v>16394.400000000001</v>
      </c>
      <c r="I518" t="s">
        <v>182</v>
      </c>
      <c r="L518" t="s">
        <v>2179</v>
      </c>
      <c r="M518">
        <v>9.32</v>
      </c>
      <c r="N518">
        <v>37.9</v>
      </c>
      <c r="O518">
        <v>8.75</v>
      </c>
      <c r="P518" s="3">
        <f t="shared" si="48"/>
        <v>0.93884120171673813</v>
      </c>
      <c r="Q518">
        <v>30.8</v>
      </c>
      <c r="R518" s="3">
        <f t="shared" si="49"/>
        <v>0.81266490765171506</v>
      </c>
      <c r="S518">
        <v>270</v>
      </c>
      <c r="T518">
        <v>9.1579999999999995</v>
      </c>
      <c r="U518">
        <v>38</v>
      </c>
      <c r="V518">
        <v>8.7040000000000006</v>
      </c>
      <c r="W518" s="3">
        <f t="shared" si="50"/>
        <v>0.95042585717405559</v>
      </c>
      <c r="X518">
        <v>30.89</v>
      </c>
      <c r="Y518" s="3">
        <f t="shared" si="51"/>
        <v>0.81289473684210523</v>
      </c>
      <c r="Z518">
        <v>268.89999999999998</v>
      </c>
      <c r="AA518">
        <v>77.3</v>
      </c>
      <c r="AB518">
        <v>25</v>
      </c>
      <c r="AC518" t="s">
        <v>64</v>
      </c>
      <c r="AE518" t="s">
        <v>65</v>
      </c>
      <c r="AF518" t="s">
        <v>66</v>
      </c>
      <c r="AG518" t="s">
        <v>1105</v>
      </c>
      <c r="AH518" s="1">
        <v>0.43111111111111111</v>
      </c>
      <c r="AI518" t="s">
        <v>68</v>
      </c>
      <c r="AJ518" t="s">
        <v>69</v>
      </c>
      <c r="AO518">
        <v>7.3579999999999997</v>
      </c>
      <c r="AP518">
        <v>39.29</v>
      </c>
      <c r="AQ518">
        <v>38.4</v>
      </c>
      <c r="AR518">
        <v>1.845</v>
      </c>
      <c r="AS518">
        <v>35.299999999999997</v>
      </c>
      <c r="AT518">
        <v>153.6</v>
      </c>
      <c r="AY518">
        <v>2.36</v>
      </c>
      <c r="AZ518" t="s">
        <v>185</v>
      </c>
      <c r="BB518" t="s">
        <v>185</v>
      </c>
      <c r="BD518" t="s">
        <v>68</v>
      </c>
      <c r="BE518" t="s">
        <v>2233</v>
      </c>
      <c r="BF518" t="s">
        <v>2234</v>
      </c>
      <c r="BG518" t="s">
        <v>2235</v>
      </c>
      <c r="BH518">
        <v>0</v>
      </c>
      <c r="BI518">
        <v>0</v>
      </c>
      <c r="BJ518">
        <v>2</v>
      </c>
      <c r="BK518" t="s">
        <v>2236</v>
      </c>
      <c r="BL518">
        <v>8.8620000000000001</v>
      </c>
      <c r="BM518">
        <v>9.0256000000000007</v>
      </c>
      <c r="BN518" t="s">
        <v>2178</v>
      </c>
      <c r="BO518" s="1">
        <v>0.47695601851851854</v>
      </c>
      <c r="BP518" s="3">
        <f t="shared" si="52"/>
        <v>1.0123393130128227</v>
      </c>
      <c r="BQ518" s="3">
        <f t="shared" si="53"/>
        <v>1.000282809295967</v>
      </c>
    </row>
    <row r="519" spans="1:69" hidden="1" x14ac:dyDescent="0.35">
      <c r="A519">
        <v>517</v>
      </c>
      <c r="B519">
        <v>3690</v>
      </c>
      <c r="D519">
        <v>5</v>
      </c>
      <c r="E519">
        <v>5</v>
      </c>
      <c r="G519">
        <v>16394.400000000001</v>
      </c>
      <c r="I519" t="s">
        <v>182</v>
      </c>
      <c r="L519" t="s">
        <v>2173</v>
      </c>
      <c r="M519">
        <v>9.32</v>
      </c>
      <c r="N519">
        <v>37.9</v>
      </c>
      <c r="O519">
        <v>8.75</v>
      </c>
      <c r="P519" s="3">
        <f t="shared" si="48"/>
        <v>0.93884120171673813</v>
      </c>
      <c r="Q519">
        <v>30.8</v>
      </c>
      <c r="R519" s="3">
        <f t="shared" si="49"/>
        <v>0.81266490765171506</v>
      </c>
      <c r="S519">
        <v>270</v>
      </c>
      <c r="T519">
        <v>9.18</v>
      </c>
      <c r="U519">
        <v>37.96</v>
      </c>
      <c r="V519">
        <v>8.7040000000000006</v>
      </c>
      <c r="W519" s="3">
        <f t="shared" si="50"/>
        <v>0.9481481481481483</v>
      </c>
      <c r="X519">
        <v>30.67</v>
      </c>
      <c r="Y519" s="3">
        <f t="shared" si="51"/>
        <v>0.80795574288724981</v>
      </c>
      <c r="Z519">
        <v>267</v>
      </c>
      <c r="AA519">
        <v>76.599999999999994</v>
      </c>
      <c r="AB519">
        <v>25.2</v>
      </c>
      <c r="AC519" t="s">
        <v>64</v>
      </c>
      <c r="AE519" t="s">
        <v>65</v>
      </c>
      <c r="AF519" t="s">
        <v>66</v>
      </c>
      <c r="AG519" s="2">
        <v>44198</v>
      </c>
      <c r="AH519" s="1">
        <v>0.63677083333333329</v>
      </c>
      <c r="AI519" t="s">
        <v>68</v>
      </c>
      <c r="AJ519" t="s">
        <v>69</v>
      </c>
      <c r="AO519">
        <v>7.3380000000000001</v>
      </c>
      <c r="AP519">
        <v>39.99</v>
      </c>
      <c r="AQ519">
        <v>38.4</v>
      </c>
      <c r="AR519">
        <v>1.835</v>
      </c>
      <c r="AS519">
        <v>35.048999999999999</v>
      </c>
      <c r="AT519">
        <v>150.6</v>
      </c>
      <c r="AY519">
        <v>2.36</v>
      </c>
      <c r="AZ519" s="2">
        <v>44229</v>
      </c>
      <c r="BB519" s="2">
        <v>44229</v>
      </c>
      <c r="BD519" t="s">
        <v>68</v>
      </c>
      <c r="BE519" t="s">
        <v>2237</v>
      </c>
      <c r="BF519" t="s">
        <v>2238</v>
      </c>
      <c r="BG519" t="s">
        <v>2239</v>
      </c>
      <c r="BH519">
        <v>0</v>
      </c>
      <c r="BI519">
        <v>1</v>
      </c>
      <c r="BJ519">
        <v>2</v>
      </c>
      <c r="BK519" t="s">
        <v>2240</v>
      </c>
      <c r="BL519">
        <v>8.8620000000000001</v>
      </c>
      <c r="BM519">
        <v>9.0256000000000007</v>
      </c>
      <c r="BN519" t="s">
        <v>2178</v>
      </c>
      <c r="BO519" s="1">
        <v>0.44954861111111111</v>
      </c>
      <c r="BP519" s="3">
        <f t="shared" si="52"/>
        <v>1.0099132275132277</v>
      </c>
      <c r="BQ519" s="3">
        <f t="shared" si="53"/>
        <v>0.99420528102034955</v>
      </c>
    </row>
    <row r="520" spans="1:69" hidden="1" x14ac:dyDescent="0.35">
      <c r="A520">
        <v>518</v>
      </c>
      <c r="B520">
        <v>3690</v>
      </c>
      <c r="D520">
        <v>5</v>
      </c>
      <c r="E520">
        <v>5</v>
      </c>
      <c r="G520">
        <v>16394.400000000001</v>
      </c>
      <c r="I520" t="s">
        <v>182</v>
      </c>
      <c r="L520" t="s">
        <v>2179</v>
      </c>
      <c r="M520">
        <v>9.32</v>
      </c>
      <c r="N520">
        <v>37.9</v>
      </c>
      <c r="O520">
        <v>8.75</v>
      </c>
      <c r="P520" s="3">
        <f t="shared" si="48"/>
        <v>0.93884120171673813</v>
      </c>
      <c r="Q520">
        <v>30.8</v>
      </c>
      <c r="R520" s="3">
        <f t="shared" si="49"/>
        <v>0.81266490765171506</v>
      </c>
      <c r="S520">
        <v>270</v>
      </c>
      <c r="T520">
        <v>9.1999999999999993</v>
      </c>
      <c r="U520">
        <v>38.06</v>
      </c>
      <c r="V520">
        <v>8.7219999999999995</v>
      </c>
      <c r="W520" s="3">
        <f t="shared" si="50"/>
        <v>0.94804347826086954</v>
      </c>
      <c r="X520">
        <v>30.97</v>
      </c>
      <c r="Y520" s="3">
        <f t="shared" si="51"/>
        <v>0.81371518654755637</v>
      </c>
      <c r="Z520">
        <v>270.10000000000002</v>
      </c>
      <c r="AA520">
        <v>77.099999999999994</v>
      </c>
      <c r="AB520">
        <v>24.8</v>
      </c>
      <c r="AC520" t="s">
        <v>64</v>
      </c>
      <c r="AE520" t="s">
        <v>65</v>
      </c>
      <c r="AF520" t="s">
        <v>66</v>
      </c>
      <c r="AG520" t="s">
        <v>1105</v>
      </c>
      <c r="AH520" s="1">
        <v>0.42820601851851853</v>
      </c>
      <c r="AI520" t="s">
        <v>68</v>
      </c>
      <c r="AJ520" t="s">
        <v>69</v>
      </c>
      <c r="AO520">
        <v>7.3579999999999997</v>
      </c>
      <c r="AP520">
        <v>39.476999999999997</v>
      </c>
      <c r="AQ520">
        <v>38.4</v>
      </c>
      <c r="AR520">
        <v>1.84</v>
      </c>
      <c r="AS520">
        <v>35.499000000000002</v>
      </c>
      <c r="AT520">
        <v>153.6</v>
      </c>
      <c r="AY520">
        <v>2.36</v>
      </c>
      <c r="AZ520" t="s">
        <v>185</v>
      </c>
      <c r="BB520" t="s">
        <v>185</v>
      </c>
      <c r="BD520" t="s">
        <v>68</v>
      </c>
      <c r="BE520" t="s">
        <v>2241</v>
      </c>
      <c r="BF520" t="s">
        <v>2242</v>
      </c>
      <c r="BG520" t="s">
        <v>2243</v>
      </c>
      <c r="BH520">
        <v>0</v>
      </c>
      <c r="BI520">
        <v>0</v>
      </c>
      <c r="BJ520">
        <v>2</v>
      </c>
      <c r="BK520" t="s">
        <v>2244</v>
      </c>
      <c r="BL520">
        <v>8.8620000000000001</v>
      </c>
      <c r="BM520">
        <v>9.0256000000000007</v>
      </c>
      <c r="BN520" t="s">
        <v>2178</v>
      </c>
      <c r="BO520" s="1">
        <v>0.44954861111111111</v>
      </c>
      <c r="BP520" s="3">
        <f t="shared" si="52"/>
        <v>1.0098017391304348</v>
      </c>
      <c r="BQ520" s="3">
        <f t="shared" si="53"/>
        <v>1.0012923886413112</v>
      </c>
    </row>
    <row r="521" spans="1:69" hidden="1" x14ac:dyDescent="0.35">
      <c r="A521">
        <v>519</v>
      </c>
      <c r="B521">
        <v>3703</v>
      </c>
      <c r="D521">
        <v>5</v>
      </c>
      <c r="E521">
        <v>5</v>
      </c>
      <c r="G521">
        <v>16394.400000000001</v>
      </c>
      <c r="I521" t="s">
        <v>182</v>
      </c>
      <c r="L521" t="s">
        <v>2173</v>
      </c>
      <c r="M521">
        <v>9.32</v>
      </c>
      <c r="N521">
        <v>37.9</v>
      </c>
      <c r="O521">
        <v>8.75</v>
      </c>
      <c r="P521" s="3">
        <f t="shared" si="48"/>
        <v>0.93884120171673813</v>
      </c>
      <c r="Q521">
        <v>30.8</v>
      </c>
      <c r="R521" s="3">
        <f t="shared" si="49"/>
        <v>0.81266490765171506</v>
      </c>
      <c r="S521">
        <v>270</v>
      </c>
      <c r="T521">
        <v>9.1989999999999998</v>
      </c>
      <c r="U521">
        <v>38.01</v>
      </c>
      <c r="V521">
        <v>8.7029999999999994</v>
      </c>
      <c r="W521" s="3">
        <f t="shared" si="50"/>
        <v>0.94608109577127941</v>
      </c>
      <c r="X521">
        <v>30.69</v>
      </c>
      <c r="Y521" s="3">
        <f t="shared" si="51"/>
        <v>0.80741910023677987</v>
      </c>
      <c r="Z521">
        <v>267.10000000000002</v>
      </c>
      <c r="AA521">
        <v>76.400000000000006</v>
      </c>
      <c r="AB521">
        <v>24.8</v>
      </c>
      <c r="AC521" t="s">
        <v>64</v>
      </c>
      <c r="AE521" t="s">
        <v>65</v>
      </c>
      <c r="AF521" t="s">
        <v>66</v>
      </c>
      <c r="AG521" s="2">
        <v>44198</v>
      </c>
      <c r="AH521" s="1">
        <v>0.64339120370370373</v>
      </c>
      <c r="AI521" t="s">
        <v>68</v>
      </c>
      <c r="AJ521" t="s">
        <v>69</v>
      </c>
      <c r="AO521">
        <v>7.3380000000000001</v>
      </c>
      <c r="AP521">
        <v>39.326999999999998</v>
      </c>
      <c r="AQ521">
        <v>38.4</v>
      </c>
      <c r="AR521">
        <v>1.835</v>
      </c>
      <c r="AS521">
        <v>35.124000000000002</v>
      </c>
      <c r="AT521">
        <v>153.6</v>
      </c>
      <c r="AY521">
        <v>2.36</v>
      </c>
      <c r="AZ521" s="2">
        <v>44229</v>
      </c>
      <c r="BB521" s="2">
        <v>44229</v>
      </c>
      <c r="BD521" t="s">
        <v>68</v>
      </c>
      <c r="BE521" t="s">
        <v>2245</v>
      </c>
      <c r="BF521" t="s">
        <v>2246</v>
      </c>
      <c r="BG521" t="s">
        <v>2247</v>
      </c>
      <c r="BH521">
        <v>0</v>
      </c>
      <c r="BI521">
        <v>1</v>
      </c>
      <c r="BJ521">
        <v>2</v>
      </c>
      <c r="BK521" t="s">
        <v>2248</v>
      </c>
      <c r="BL521">
        <v>8.8620000000000001</v>
      </c>
      <c r="BM521">
        <v>9.0256000000000007</v>
      </c>
      <c r="BN521" t="s">
        <v>2178</v>
      </c>
      <c r="BO521" s="1">
        <v>0.62908564814814816</v>
      </c>
      <c r="BP521" s="3">
        <f t="shared" si="52"/>
        <v>1.0077115214386656</v>
      </c>
      <c r="BQ521" s="3">
        <f t="shared" si="53"/>
        <v>0.99354493178486869</v>
      </c>
    </row>
    <row r="522" spans="1:69" hidden="1" x14ac:dyDescent="0.35">
      <c r="A522">
        <v>520</v>
      </c>
      <c r="B522">
        <v>3703</v>
      </c>
      <c r="D522">
        <v>5</v>
      </c>
      <c r="E522">
        <v>5</v>
      </c>
      <c r="G522">
        <v>16394.400000000001</v>
      </c>
      <c r="I522" t="s">
        <v>182</v>
      </c>
      <c r="L522" t="s">
        <v>2179</v>
      </c>
      <c r="M522">
        <v>9.32</v>
      </c>
      <c r="N522">
        <v>37.9</v>
      </c>
      <c r="O522">
        <v>8.75</v>
      </c>
      <c r="P522" s="3">
        <f t="shared" si="48"/>
        <v>0.93884120171673813</v>
      </c>
      <c r="Q522">
        <v>30.8</v>
      </c>
      <c r="R522" s="3">
        <f t="shared" si="49"/>
        <v>0.81266490765171506</v>
      </c>
      <c r="S522">
        <v>270</v>
      </c>
      <c r="T522">
        <v>9.2100000000000009</v>
      </c>
      <c r="U522">
        <v>38.049999999999997</v>
      </c>
      <c r="V522">
        <v>8.7140000000000004</v>
      </c>
      <c r="W522" s="3">
        <f t="shared" si="50"/>
        <v>0.94614549402823012</v>
      </c>
      <c r="X522">
        <v>30.8</v>
      </c>
      <c r="Y522" s="3">
        <f t="shared" si="51"/>
        <v>0.80946123521682001</v>
      </c>
      <c r="Z522">
        <v>268.39999999999998</v>
      </c>
      <c r="AA522">
        <v>76.599999999999994</v>
      </c>
      <c r="AB522">
        <v>25</v>
      </c>
      <c r="AC522" t="s">
        <v>64</v>
      </c>
      <c r="AE522" t="s">
        <v>65</v>
      </c>
      <c r="AF522" t="s">
        <v>66</v>
      </c>
      <c r="AG522" t="s">
        <v>1105</v>
      </c>
      <c r="AH522" s="1">
        <v>0.42319444444444443</v>
      </c>
      <c r="AI522" t="s">
        <v>68</v>
      </c>
      <c r="AJ522" t="s">
        <v>69</v>
      </c>
      <c r="AO522">
        <v>7.3579999999999997</v>
      </c>
      <c r="AP522">
        <v>39.590000000000003</v>
      </c>
      <c r="AQ522">
        <v>38.4</v>
      </c>
      <c r="AR522">
        <v>1.84</v>
      </c>
      <c r="AS522">
        <v>35.462000000000003</v>
      </c>
      <c r="AT522">
        <v>153.6</v>
      </c>
      <c r="AY522">
        <v>2.36</v>
      </c>
      <c r="AZ522" t="s">
        <v>185</v>
      </c>
      <c r="BB522" t="s">
        <v>185</v>
      </c>
      <c r="BD522" t="s">
        <v>68</v>
      </c>
      <c r="BE522" t="s">
        <v>2249</v>
      </c>
      <c r="BF522" t="s">
        <v>2250</v>
      </c>
      <c r="BG522" t="s">
        <v>2251</v>
      </c>
      <c r="BH522">
        <v>0</v>
      </c>
      <c r="BI522">
        <v>0</v>
      </c>
      <c r="BJ522">
        <v>2</v>
      </c>
      <c r="BK522" t="s">
        <v>2252</v>
      </c>
      <c r="BL522">
        <v>8.8620000000000001</v>
      </c>
      <c r="BM522">
        <v>9.0256000000000007</v>
      </c>
      <c r="BN522" t="s">
        <v>2178</v>
      </c>
      <c r="BO522" s="1">
        <v>0.62908564814814816</v>
      </c>
      <c r="BP522" s="3">
        <f t="shared" si="52"/>
        <v>1.0077801147820691</v>
      </c>
      <c r="BQ522" s="3">
        <f t="shared" si="53"/>
        <v>0.99605781865965837</v>
      </c>
    </row>
    <row r="523" spans="1:69" hidden="1" x14ac:dyDescent="0.35">
      <c r="A523">
        <v>521</v>
      </c>
      <c r="B523">
        <v>3684</v>
      </c>
      <c r="D523">
        <v>5</v>
      </c>
      <c r="E523">
        <v>5</v>
      </c>
      <c r="G523">
        <v>16394.400000000001</v>
      </c>
      <c r="I523" t="s">
        <v>182</v>
      </c>
      <c r="L523" t="s">
        <v>2173</v>
      </c>
      <c r="M523">
        <v>9.32</v>
      </c>
      <c r="N523">
        <v>37.9</v>
      </c>
      <c r="O523">
        <v>8.75</v>
      </c>
      <c r="P523" s="3">
        <f t="shared" si="48"/>
        <v>0.93884120171673813</v>
      </c>
      <c r="Q523">
        <v>30.8</v>
      </c>
      <c r="R523" s="3">
        <f t="shared" si="49"/>
        <v>0.81266490765171506</v>
      </c>
      <c r="S523">
        <v>270</v>
      </c>
      <c r="T523">
        <v>9.157</v>
      </c>
      <c r="U523">
        <v>37.880000000000003</v>
      </c>
      <c r="V523">
        <v>8.6649999999999991</v>
      </c>
      <c r="W523" s="3">
        <f t="shared" si="50"/>
        <v>0.94627061264606305</v>
      </c>
      <c r="X523">
        <v>30.59</v>
      </c>
      <c r="Y523" s="3">
        <f t="shared" si="51"/>
        <v>0.80755015839493127</v>
      </c>
      <c r="Z523">
        <v>265</v>
      </c>
      <c r="AA523">
        <v>76.400000000000006</v>
      </c>
      <c r="AB523">
        <v>24.9</v>
      </c>
      <c r="AC523" t="s">
        <v>64</v>
      </c>
      <c r="AE523" t="s">
        <v>65</v>
      </c>
      <c r="AF523" t="s">
        <v>66</v>
      </c>
      <c r="AG523" s="2">
        <v>44198</v>
      </c>
      <c r="AH523" s="1">
        <v>0.6388194444444445</v>
      </c>
      <c r="AI523" t="s">
        <v>68</v>
      </c>
      <c r="AJ523" t="s">
        <v>69</v>
      </c>
      <c r="AO523">
        <v>7.3380000000000001</v>
      </c>
      <c r="AP523">
        <v>39.101999999999997</v>
      </c>
      <c r="AQ523">
        <v>38.4</v>
      </c>
      <c r="AR523">
        <v>1.835</v>
      </c>
      <c r="AS523">
        <v>34.936</v>
      </c>
      <c r="AT523">
        <v>312.60000000000002</v>
      </c>
      <c r="AY523">
        <v>2.36</v>
      </c>
      <c r="AZ523" s="2">
        <v>44229</v>
      </c>
      <c r="BB523" s="2">
        <v>44229</v>
      </c>
      <c r="BD523" t="s">
        <v>68</v>
      </c>
      <c r="BE523" t="s">
        <v>2253</v>
      </c>
      <c r="BF523" t="s">
        <v>2254</v>
      </c>
      <c r="BG523" t="s">
        <v>2255</v>
      </c>
      <c r="BH523">
        <v>0</v>
      </c>
      <c r="BI523">
        <v>0</v>
      </c>
      <c r="BJ523">
        <v>1</v>
      </c>
      <c r="BK523" t="s">
        <v>2256</v>
      </c>
      <c r="BL523">
        <v>8.8620000000000001</v>
      </c>
      <c r="BM523">
        <v>9.0256000000000007</v>
      </c>
      <c r="BN523" t="s">
        <v>2178</v>
      </c>
      <c r="BO523" s="1">
        <v>0.46608796296296295</v>
      </c>
      <c r="BP523" s="3">
        <f t="shared" si="52"/>
        <v>1.0079133839841494</v>
      </c>
      <c r="BQ523" s="3">
        <f t="shared" si="53"/>
        <v>0.99370620140155497</v>
      </c>
    </row>
    <row r="524" spans="1:69" hidden="1" x14ac:dyDescent="0.35">
      <c r="A524">
        <v>522</v>
      </c>
      <c r="B524">
        <v>3693</v>
      </c>
      <c r="D524">
        <v>5</v>
      </c>
      <c r="E524">
        <v>5</v>
      </c>
      <c r="G524">
        <v>16394.400000000001</v>
      </c>
      <c r="I524" t="s">
        <v>182</v>
      </c>
      <c r="L524" t="s">
        <v>2220</v>
      </c>
      <c r="M524">
        <v>9.32</v>
      </c>
      <c r="N524">
        <v>37.9</v>
      </c>
      <c r="O524">
        <v>8.75</v>
      </c>
      <c r="P524" s="3">
        <f t="shared" si="48"/>
        <v>0.93884120171673813</v>
      </c>
      <c r="Q524">
        <v>30.8</v>
      </c>
      <c r="R524" s="3">
        <f t="shared" si="49"/>
        <v>0.81266490765171506</v>
      </c>
      <c r="S524">
        <v>270</v>
      </c>
      <c r="T524">
        <v>9.1660000000000004</v>
      </c>
      <c r="U524">
        <v>37.97</v>
      </c>
      <c r="V524">
        <v>8.6910000000000007</v>
      </c>
      <c r="W524" s="3">
        <f t="shared" si="50"/>
        <v>0.94817804931267735</v>
      </c>
      <c r="X524">
        <v>30.67</v>
      </c>
      <c r="Y524" s="3">
        <f t="shared" si="51"/>
        <v>0.8077429549644457</v>
      </c>
      <c r="Z524">
        <v>266.5</v>
      </c>
      <c r="AA524">
        <v>76.599999999999994</v>
      </c>
      <c r="AB524">
        <v>24.7</v>
      </c>
      <c r="AC524" t="s">
        <v>64</v>
      </c>
      <c r="AE524" t="s">
        <v>65</v>
      </c>
      <c r="AF524" t="s">
        <v>66</v>
      </c>
      <c r="AG524" s="2">
        <v>44198</v>
      </c>
      <c r="AH524" s="1">
        <v>0.64224537037037033</v>
      </c>
      <c r="AI524" t="s">
        <v>68</v>
      </c>
      <c r="AJ524" t="s">
        <v>69</v>
      </c>
      <c r="AO524">
        <v>7.3380000000000001</v>
      </c>
      <c r="AP524">
        <v>39.326999999999998</v>
      </c>
      <c r="AQ524">
        <v>38.4</v>
      </c>
      <c r="AR524">
        <v>1.835</v>
      </c>
      <c r="AS524">
        <v>35.161000000000001</v>
      </c>
      <c r="AT524">
        <v>153.6</v>
      </c>
      <c r="AY524">
        <v>2.36</v>
      </c>
      <c r="AZ524" s="2">
        <v>44229</v>
      </c>
      <c r="BB524" s="2">
        <v>44229</v>
      </c>
      <c r="BD524" t="s">
        <v>68</v>
      </c>
      <c r="BE524" t="s">
        <v>2257</v>
      </c>
      <c r="BF524" t="s">
        <v>2258</v>
      </c>
      <c r="BG524" t="s">
        <v>2259</v>
      </c>
      <c r="BH524">
        <v>0</v>
      </c>
      <c r="BI524">
        <v>1</v>
      </c>
      <c r="BJ524">
        <v>2</v>
      </c>
      <c r="BK524" t="s">
        <v>2260</v>
      </c>
      <c r="BL524">
        <v>8.8620000000000001</v>
      </c>
      <c r="BM524">
        <v>9.0256000000000007</v>
      </c>
      <c r="BN524" s="2">
        <v>42743</v>
      </c>
      <c r="BO524" s="1">
        <v>0.35237268518518516</v>
      </c>
      <c r="BP524" s="3">
        <f t="shared" si="52"/>
        <v>1.0099450765250462</v>
      </c>
      <c r="BQ524" s="3">
        <f t="shared" si="53"/>
        <v>0.99394344133611989</v>
      </c>
    </row>
    <row r="525" spans="1:69" hidden="1" x14ac:dyDescent="0.35">
      <c r="A525">
        <v>523</v>
      </c>
      <c r="B525">
        <v>3693</v>
      </c>
      <c r="D525">
        <v>5</v>
      </c>
      <c r="E525">
        <v>5</v>
      </c>
      <c r="G525">
        <v>16394.400000000001</v>
      </c>
      <c r="I525" t="s">
        <v>182</v>
      </c>
      <c r="L525" t="s">
        <v>1264</v>
      </c>
      <c r="M525">
        <v>9.32</v>
      </c>
      <c r="N525">
        <v>37.9</v>
      </c>
      <c r="O525">
        <v>8.75</v>
      </c>
      <c r="P525" s="3">
        <f t="shared" si="48"/>
        <v>0.93884120171673813</v>
      </c>
      <c r="Q525">
        <v>30.8</v>
      </c>
      <c r="R525" s="3">
        <f t="shared" si="49"/>
        <v>0.81266490765171506</v>
      </c>
      <c r="S525">
        <v>270</v>
      </c>
      <c r="T525">
        <v>9.1690000000000005</v>
      </c>
      <c r="U525">
        <v>38.020000000000003</v>
      </c>
      <c r="V525">
        <v>8.7059999999999995</v>
      </c>
      <c r="W525" s="3">
        <f t="shared" si="50"/>
        <v>0.94950376267859082</v>
      </c>
      <c r="X525">
        <v>30.87</v>
      </c>
      <c r="Y525" s="3">
        <f t="shared" si="51"/>
        <v>0.81194108364018935</v>
      </c>
      <c r="Z525">
        <v>268.8</v>
      </c>
      <c r="AA525">
        <v>77.099999999999994</v>
      </c>
      <c r="AB525">
        <v>24.9</v>
      </c>
      <c r="AC525" t="s">
        <v>64</v>
      </c>
      <c r="AE525" t="s">
        <v>65</v>
      </c>
      <c r="AF525" t="s">
        <v>66</v>
      </c>
      <c r="AG525" t="s">
        <v>1105</v>
      </c>
      <c r="AH525" s="1">
        <v>0.42425925925925928</v>
      </c>
      <c r="AI525" t="s">
        <v>68</v>
      </c>
      <c r="AJ525" t="s">
        <v>69</v>
      </c>
      <c r="AO525">
        <v>7.3630000000000004</v>
      </c>
      <c r="AP525">
        <v>39.44</v>
      </c>
      <c r="AQ525">
        <v>38.4</v>
      </c>
      <c r="AR525">
        <v>1.845</v>
      </c>
      <c r="AS525">
        <v>35.423999999999999</v>
      </c>
      <c r="AT525">
        <v>153.6</v>
      </c>
      <c r="AY525">
        <v>2.36</v>
      </c>
      <c r="AZ525" t="s">
        <v>185</v>
      </c>
      <c r="BB525" t="s">
        <v>185</v>
      </c>
      <c r="BD525" t="s">
        <v>68</v>
      </c>
      <c r="BE525" t="s">
        <v>2261</v>
      </c>
      <c r="BF525" t="s">
        <v>2262</v>
      </c>
      <c r="BG525" t="s">
        <v>2263</v>
      </c>
      <c r="BH525">
        <v>0</v>
      </c>
      <c r="BI525">
        <v>0</v>
      </c>
      <c r="BJ525">
        <v>2</v>
      </c>
      <c r="BK525" t="s">
        <v>2264</v>
      </c>
      <c r="BL525">
        <v>8.8620000000000001</v>
      </c>
      <c r="BM525">
        <v>9.0256000000000007</v>
      </c>
      <c r="BN525" s="2">
        <v>42743</v>
      </c>
      <c r="BO525" s="1">
        <v>0.35237268518518516</v>
      </c>
      <c r="BP525" s="3">
        <f t="shared" si="52"/>
        <v>1.0113571506473678</v>
      </c>
      <c r="BQ525" s="3">
        <f t="shared" si="53"/>
        <v>0.99910932045334988</v>
      </c>
    </row>
    <row r="526" spans="1:69" hidden="1" x14ac:dyDescent="0.35">
      <c r="A526">
        <v>524</v>
      </c>
      <c r="B526">
        <v>3696</v>
      </c>
      <c r="D526">
        <v>5</v>
      </c>
      <c r="E526">
        <v>5</v>
      </c>
      <c r="G526">
        <v>16394.400000000001</v>
      </c>
      <c r="I526" t="s">
        <v>182</v>
      </c>
      <c r="L526" t="s">
        <v>2220</v>
      </c>
      <c r="M526">
        <v>9.32</v>
      </c>
      <c r="N526">
        <v>37.9</v>
      </c>
      <c r="O526">
        <v>8.75</v>
      </c>
      <c r="P526" s="3">
        <f t="shared" si="48"/>
        <v>0.93884120171673813</v>
      </c>
      <c r="Q526">
        <v>30.8</v>
      </c>
      <c r="R526" s="3">
        <f t="shared" si="49"/>
        <v>0.81266490765171506</v>
      </c>
      <c r="S526">
        <v>270</v>
      </c>
      <c r="T526">
        <v>9.1440000000000001</v>
      </c>
      <c r="U526">
        <v>37.93</v>
      </c>
      <c r="V526">
        <v>8.6890000000000001</v>
      </c>
      <c r="W526" s="3">
        <f t="shared" si="50"/>
        <v>0.95024059492563429</v>
      </c>
      <c r="X526">
        <v>30.6</v>
      </c>
      <c r="Y526" s="3">
        <f t="shared" si="51"/>
        <v>0.80674927498022675</v>
      </c>
      <c r="Z526">
        <v>265.8</v>
      </c>
      <c r="AA526">
        <v>76.599999999999994</v>
      </c>
      <c r="AB526">
        <v>24.7</v>
      </c>
      <c r="AC526" t="s">
        <v>64</v>
      </c>
      <c r="AE526" t="s">
        <v>65</v>
      </c>
      <c r="AF526" t="s">
        <v>66</v>
      </c>
      <c r="AG526" s="2">
        <v>44198</v>
      </c>
      <c r="AH526" s="1">
        <v>0.6428356481481482</v>
      </c>
      <c r="AI526" t="s">
        <v>68</v>
      </c>
      <c r="AJ526" t="s">
        <v>69</v>
      </c>
      <c r="AO526">
        <v>7.3380000000000001</v>
      </c>
      <c r="AP526">
        <v>39.064999999999998</v>
      </c>
      <c r="AQ526">
        <v>38.4</v>
      </c>
      <c r="AR526">
        <v>1.835</v>
      </c>
      <c r="AS526">
        <v>34.973999999999997</v>
      </c>
      <c r="AT526">
        <v>153.6</v>
      </c>
      <c r="AY526">
        <v>2.36</v>
      </c>
      <c r="AZ526" s="2">
        <v>44229</v>
      </c>
      <c r="BB526" s="2">
        <v>44229</v>
      </c>
      <c r="BD526" t="s">
        <v>68</v>
      </c>
      <c r="BE526" t="s">
        <v>2265</v>
      </c>
      <c r="BF526" t="s">
        <v>2266</v>
      </c>
      <c r="BG526" t="s">
        <v>2267</v>
      </c>
      <c r="BH526">
        <v>0</v>
      </c>
      <c r="BI526">
        <v>1</v>
      </c>
      <c r="BJ526">
        <v>2</v>
      </c>
      <c r="BK526" t="s">
        <v>2268</v>
      </c>
      <c r="BL526">
        <v>8.8620000000000001</v>
      </c>
      <c r="BM526">
        <v>9.0256000000000007</v>
      </c>
      <c r="BN526" s="2">
        <v>42743</v>
      </c>
      <c r="BO526" s="1">
        <v>0.34681712962962963</v>
      </c>
      <c r="BP526" s="3">
        <f t="shared" si="52"/>
        <v>1.0121419822522186</v>
      </c>
      <c r="BQ526" s="3">
        <f t="shared" si="53"/>
        <v>0.99272069875813618</v>
      </c>
    </row>
    <row r="527" spans="1:69" hidden="1" x14ac:dyDescent="0.35">
      <c r="A527">
        <v>525</v>
      </c>
      <c r="B527">
        <v>3696</v>
      </c>
      <c r="D527">
        <v>5</v>
      </c>
      <c r="E527">
        <v>5</v>
      </c>
      <c r="G527">
        <v>16394.400000000001</v>
      </c>
      <c r="I527" t="s">
        <v>182</v>
      </c>
      <c r="L527" t="s">
        <v>1264</v>
      </c>
      <c r="M527">
        <v>9.32</v>
      </c>
      <c r="N527">
        <v>37.9</v>
      </c>
      <c r="O527">
        <v>8.75</v>
      </c>
      <c r="P527" s="3">
        <f t="shared" si="48"/>
        <v>0.93884120171673813</v>
      </c>
      <c r="Q527">
        <v>30.8</v>
      </c>
      <c r="R527" s="3">
        <f t="shared" si="49"/>
        <v>0.81266490765171506</v>
      </c>
      <c r="S527">
        <v>270</v>
      </c>
      <c r="T527">
        <v>9.1470000000000002</v>
      </c>
      <c r="U527">
        <v>37.979999999999997</v>
      </c>
      <c r="V527">
        <v>8.7100000000000009</v>
      </c>
      <c r="W527" s="3">
        <f t="shared" si="50"/>
        <v>0.95222477314966658</v>
      </c>
      <c r="X527">
        <v>30.92</v>
      </c>
      <c r="Y527" s="3">
        <f t="shared" si="51"/>
        <v>0.8141126908899422</v>
      </c>
      <c r="Z527">
        <v>269.3</v>
      </c>
      <c r="AA527">
        <v>77.5</v>
      </c>
      <c r="AB527">
        <v>24.9</v>
      </c>
      <c r="AC527" t="s">
        <v>64</v>
      </c>
      <c r="AE527" t="s">
        <v>65</v>
      </c>
      <c r="AF527" t="s">
        <v>66</v>
      </c>
      <c r="AG527" t="s">
        <v>1105</v>
      </c>
      <c r="AH527" s="1">
        <v>0.42537037037037034</v>
      </c>
      <c r="AI527" t="s">
        <v>68</v>
      </c>
      <c r="AJ527" t="s">
        <v>69</v>
      </c>
      <c r="AO527">
        <v>7.3579999999999997</v>
      </c>
      <c r="AP527">
        <v>39.326999999999998</v>
      </c>
      <c r="AQ527">
        <v>38.4</v>
      </c>
      <c r="AR527">
        <v>1.845</v>
      </c>
      <c r="AS527">
        <v>35.348999999999997</v>
      </c>
      <c r="AT527">
        <v>153.6</v>
      </c>
      <c r="AY527">
        <v>2.36</v>
      </c>
      <c r="AZ527" t="s">
        <v>185</v>
      </c>
      <c r="BB527" t="s">
        <v>185</v>
      </c>
      <c r="BD527" t="s">
        <v>68</v>
      </c>
      <c r="BE527" t="s">
        <v>2269</v>
      </c>
      <c r="BF527" t="s">
        <v>2270</v>
      </c>
      <c r="BG527" t="s">
        <v>2271</v>
      </c>
      <c r="BH527">
        <v>0</v>
      </c>
      <c r="BI527">
        <v>0</v>
      </c>
      <c r="BJ527">
        <v>2</v>
      </c>
      <c r="BK527" t="s">
        <v>2272</v>
      </c>
      <c r="BL527">
        <v>8.8620000000000001</v>
      </c>
      <c r="BM527">
        <v>9.0256000000000007</v>
      </c>
      <c r="BN527" s="2">
        <v>42743</v>
      </c>
      <c r="BO527" s="1">
        <v>0.34681712962962963</v>
      </c>
      <c r="BP527" s="3">
        <f t="shared" si="52"/>
        <v>1.0142554155148449</v>
      </c>
      <c r="BQ527" s="3">
        <f t="shared" si="53"/>
        <v>1.0017815254782081</v>
      </c>
    </row>
    <row r="528" spans="1:69" hidden="1" x14ac:dyDescent="0.35">
      <c r="A528">
        <v>526</v>
      </c>
      <c r="B528">
        <v>3247</v>
      </c>
      <c r="D528">
        <v>5</v>
      </c>
      <c r="E528">
        <v>5</v>
      </c>
      <c r="G528">
        <v>16394.400000000001</v>
      </c>
      <c r="I528" t="s">
        <v>182</v>
      </c>
      <c r="L528" t="s">
        <v>1152</v>
      </c>
      <c r="M528">
        <v>9.32</v>
      </c>
      <c r="N528">
        <v>37.9</v>
      </c>
      <c r="O528">
        <v>8.75</v>
      </c>
      <c r="P528" s="3">
        <f t="shared" si="48"/>
        <v>0.93884120171673813</v>
      </c>
      <c r="Q528">
        <v>30.8</v>
      </c>
      <c r="R528" s="3">
        <f t="shared" si="49"/>
        <v>0.81266490765171506</v>
      </c>
      <c r="S528">
        <v>270</v>
      </c>
      <c r="T528">
        <v>9.18</v>
      </c>
      <c r="U528">
        <v>37.93</v>
      </c>
      <c r="V528">
        <v>8.6929999999999996</v>
      </c>
      <c r="W528" s="3">
        <f t="shared" si="50"/>
        <v>0.94694989106753813</v>
      </c>
      <c r="X528">
        <v>30.58</v>
      </c>
      <c r="Y528" s="3">
        <f t="shared" si="51"/>
        <v>0.80622198787239652</v>
      </c>
      <c r="Z528">
        <v>265.89999999999998</v>
      </c>
      <c r="AA528">
        <v>76.400000000000006</v>
      </c>
      <c r="AB528">
        <v>25.1</v>
      </c>
      <c r="AC528" t="s">
        <v>64</v>
      </c>
      <c r="AE528" t="s">
        <v>65</v>
      </c>
      <c r="AF528" t="s">
        <v>66</v>
      </c>
      <c r="AG528" s="2">
        <v>44198</v>
      </c>
      <c r="AH528" s="1">
        <v>0.63741898148148146</v>
      </c>
      <c r="AI528" t="s">
        <v>68</v>
      </c>
      <c r="AJ528" t="s">
        <v>69</v>
      </c>
      <c r="AO528">
        <v>7.3380000000000001</v>
      </c>
      <c r="AP528">
        <v>39.177</v>
      </c>
      <c r="AQ528">
        <v>38.4</v>
      </c>
      <c r="AR528">
        <v>1.835</v>
      </c>
      <c r="AS528">
        <v>39.048999999999999</v>
      </c>
      <c r="AT528">
        <v>150.6</v>
      </c>
      <c r="AY528">
        <v>2.36</v>
      </c>
      <c r="AZ528" s="2">
        <v>44229</v>
      </c>
      <c r="BB528" s="2">
        <v>44229</v>
      </c>
      <c r="BD528" t="s">
        <v>68</v>
      </c>
      <c r="BE528" t="s">
        <v>2273</v>
      </c>
      <c r="BF528" t="s">
        <v>2274</v>
      </c>
      <c r="BG528" t="s">
        <v>2275</v>
      </c>
      <c r="BH528">
        <v>0</v>
      </c>
      <c r="BI528">
        <v>1</v>
      </c>
      <c r="BJ528">
        <v>2</v>
      </c>
      <c r="BK528" t="s">
        <v>2276</v>
      </c>
      <c r="BL528">
        <v>8.8620000000000001</v>
      </c>
      <c r="BM528">
        <v>9.0256000000000007</v>
      </c>
      <c r="BN528" t="s">
        <v>1098</v>
      </c>
      <c r="BO528" s="1">
        <v>0.37692129629629628</v>
      </c>
      <c r="BP528" s="3">
        <f t="shared" si="52"/>
        <v>1.008636912542795</v>
      </c>
      <c r="BQ528" s="3">
        <f t="shared" si="53"/>
        <v>0.99207186170012429</v>
      </c>
    </row>
    <row r="529" spans="1:69" hidden="1" x14ac:dyDescent="0.35">
      <c r="A529">
        <v>527</v>
      </c>
      <c r="B529">
        <v>3247</v>
      </c>
      <c r="D529">
        <v>5</v>
      </c>
      <c r="E529">
        <v>5</v>
      </c>
      <c r="G529">
        <v>16394.400000000001</v>
      </c>
      <c r="I529" t="s">
        <v>182</v>
      </c>
      <c r="L529" t="s">
        <v>1104</v>
      </c>
      <c r="M529">
        <v>9.32</v>
      </c>
      <c r="N529">
        <v>37.9</v>
      </c>
      <c r="O529">
        <v>8.75</v>
      </c>
      <c r="P529" s="3">
        <f t="shared" si="48"/>
        <v>0.93884120171673813</v>
      </c>
      <c r="Q529">
        <v>30.8</v>
      </c>
      <c r="R529" s="3">
        <f t="shared" si="49"/>
        <v>0.81266490765171506</v>
      </c>
      <c r="S529">
        <v>270</v>
      </c>
      <c r="T529">
        <v>9.1880000000000006</v>
      </c>
      <c r="U529">
        <v>38.01</v>
      </c>
      <c r="V529">
        <v>8.7189999999999994</v>
      </c>
      <c r="W529" s="3">
        <f t="shared" si="50"/>
        <v>0.94895515890291671</v>
      </c>
      <c r="X529">
        <v>30.93</v>
      </c>
      <c r="Y529" s="3">
        <f t="shared" si="51"/>
        <v>0.81373322809786897</v>
      </c>
      <c r="Z529">
        <v>269.7</v>
      </c>
      <c r="AA529">
        <v>77.2</v>
      </c>
      <c r="AB529">
        <v>24.9</v>
      </c>
      <c r="AC529" t="s">
        <v>64</v>
      </c>
      <c r="AE529" t="s">
        <v>65</v>
      </c>
      <c r="AF529" t="s">
        <v>66</v>
      </c>
      <c r="AG529" t="s">
        <v>1105</v>
      </c>
      <c r="AH529" s="1">
        <v>0.42954861111111109</v>
      </c>
      <c r="AI529" t="s">
        <v>68</v>
      </c>
      <c r="AJ529" t="s">
        <v>69</v>
      </c>
      <c r="AO529">
        <v>7.3579999999999997</v>
      </c>
      <c r="AP529">
        <v>39.326999999999998</v>
      </c>
      <c r="AQ529">
        <v>38.4</v>
      </c>
      <c r="AR529">
        <v>1.845</v>
      </c>
      <c r="AS529">
        <v>35.274000000000001</v>
      </c>
      <c r="AT529">
        <v>153.6</v>
      </c>
      <c r="AY529">
        <v>2.36</v>
      </c>
      <c r="AZ529" t="s">
        <v>185</v>
      </c>
      <c r="BB529" t="s">
        <v>185</v>
      </c>
      <c r="BD529" t="s">
        <v>68</v>
      </c>
      <c r="BE529" t="s">
        <v>2277</v>
      </c>
      <c r="BF529" t="s">
        <v>2278</v>
      </c>
      <c r="BG529" t="s">
        <v>2279</v>
      </c>
      <c r="BH529">
        <v>0</v>
      </c>
      <c r="BI529">
        <v>0</v>
      </c>
      <c r="BJ529">
        <v>2</v>
      </c>
      <c r="BK529" t="s">
        <v>2280</v>
      </c>
      <c r="BL529">
        <v>8.8620000000000001</v>
      </c>
      <c r="BM529">
        <v>9.0256000000000007</v>
      </c>
      <c r="BN529" t="s">
        <v>1098</v>
      </c>
      <c r="BO529" s="1">
        <v>0.37692129629629628</v>
      </c>
      <c r="BP529" s="3">
        <f t="shared" si="52"/>
        <v>1.0107728092543067</v>
      </c>
      <c r="BQ529" s="3">
        <f t="shared" si="53"/>
        <v>1.0013145891204296</v>
      </c>
    </row>
    <row r="530" spans="1:69" hidden="1" x14ac:dyDescent="0.35">
      <c r="A530">
        <v>528</v>
      </c>
      <c r="B530">
        <v>3705</v>
      </c>
      <c r="D530">
        <v>5</v>
      </c>
      <c r="E530">
        <v>5</v>
      </c>
      <c r="G530">
        <v>16394.400000000001</v>
      </c>
      <c r="I530" t="s">
        <v>182</v>
      </c>
      <c r="L530" t="s">
        <v>2173</v>
      </c>
      <c r="M530">
        <v>9.32</v>
      </c>
      <c r="N530">
        <v>37.9</v>
      </c>
      <c r="O530">
        <v>8.75</v>
      </c>
      <c r="P530" s="3">
        <f t="shared" si="48"/>
        <v>0.93884120171673813</v>
      </c>
      <c r="Q530">
        <v>30.8</v>
      </c>
      <c r="R530" s="3">
        <f t="shared" si="49"/>
        <v>0.81266490765171506</v>
      </c>
      <c r="S530">
        <v>270</v>
      </c>
      <c r="T530">
        <v>9.1359999999999992</v>
      </c>
      <c r="U530">
        <v>37.9</v>
      </c>
      <c r="V530">
        <v>8.6669999999999998</v>
      </c>
      <c r="W530" s="3">
        <f t="shared" si="50"/>
        <v>0.94866462346760072</v>
      </c>
      <c r="X530">
        <v>30.67</v>
      </c>
      <c r="Y530" s="3">
        <f t="shared" si="51"/>
        <v>0.80923482849604234</v>
      </c>
      <c r="Z530">
        <v>265.8</v>
      </c>
      <c r="AA530">
        <v>76.8</v>
      </c>
      <c r="AB530">
        <v>24.6</v>
      </c>
      <c r="AC530" t="s">
        <v>64</v>
      </c>
      <c r="AE530" t="s">
        <v>65</v>
      </c>
      <c r="AF530" t="s">
        <v>66</v>
      </c>
      <c r="AG530" s="2">
        <v>44198</v>
      </c>
      <c r="AH530" s="1">
        <v>0.64615740740740746</v>
      </c>
      <c r="AI530" t="s">
        <v>68</v>
      </c>
      <c r="AJ530" t="s">
        <v>69</v>
      </c>
      <c r="AO530">
        <v>7.3380000000000001</v>
      </c>
      <c r="AP530">
        <v>39.027000000000001</v>
      </c>
      <c r="AQ530">
        <v>38.4</v>
      </c>
      <c r="AR530">
        <v>1.835</v>
      </c>
      <c r="AS530">
        <v>34.899000000000001</v>
      </c>
      <c r="AT530">
        <v>153.6</v>
      </c>
      <c r="AY530">
        <v>2.36</v>
      </c>
      <c r="AZ530" s="2">
        <v>44229</v>
      </c>
      <c r="BB530" s="2">
        <v>44229</v>
      </c>
      <c r="BD530" t="s">
        <v>68</v>
      </c>
      <c r="BE530" t="s">
        <v>2281</v>
      </c>
      <c r="BF530" t="s">
        <v>2282</v>
      </c>
      <c r="BG530" t="s">
        <v>2283</v>
      </c>
      <c r="BH530">
        <v>0</v>
      </c>
      <c r="BI530">
        <v>0</v>
      </c>
      <c r="BJ530">
        <v>1</v>
      </c>
      <c r="BK530" t="s">
        <v>2284</v>
      </c>
      <c r="BL530">
        <v>8.8620000000000001</v>
      </c>
      <c r="BM530">
        <v>9.0256000000000007</v>
      </c>
      <c r="BN530" t="s">
        <v>2178</v>
      </c>
      <c r="BO530" s="1">
        <v>0.62437500000000001</v>
      </c>
      <c r="BP530" s="3">
        <f t="shared" si="52"/>
        <v>1.010463347510633</v>
      </c>
      <c r="BQ530" s="3">
        <f t="shared" si="53"/>
        <v>0.99577922077922087</v>
      </c>
    </row>
    <row r="531" spans="1:69" hidden="1" x14ac:dyDescent="0.35">
      <c r="A531">
        <v>529</v>
      </c>
      <c r="B531">
        <v>3765</v>
      </c>
      <c r="D531">
        <v>5</v>
      </c>
      <c r="E531">
        <v>6</v>
      </c>
      <c r="G531">
        <v>16335</v>
      </c>
      <c r="I531" t="s">
        <v>62</v>
      </c>
      <c r="L531" t="s">
        <v>2285</v>
      </c>
      <c r="M531">
        <v>9.31</v>
      </c>
      <c r="N531">
        <v>38.299999999999997</v>
      </c>
      <c r="O531">
        <v>8.8000000000000007</v>
      </c>
      <c r="P531" s="3">
        <f t="shared" si="48"/>
        <v>0.94522019334049412</v>
      </c>
      <c r="Q531">
        <v>31.3</v>
      </c>
      <c r="R531" s="3">
        <f t="shared" si="49"/>
        <v>0.81723237597911236</v>
      </c>
      <c r="S531">
        <v>275</v>
      </c>
      <c r="T531">
        <v>9.3409999999999993</v>
      </c>
      <c r="U531">
        <v>38.54</v>
      </c>
      <c r="V531">
        <v>8.8970000000000002</v>
      </c>
      <c r="W531" s="3">
        <f t="shared" si="50"/>
        <v>0.95246761588695006</v>
      </c>
      <c r="X531">
        <v>31.78</v>
      </c>
      <c r="Y531" s="3">
        <f t="shared" si="51"/>
        <v>0.8245978204462896</v>
      </c>
      <c r="Z531">
        <v>282.8</v>
      </c>
      <c r="AA531">
        <v>78.599999999999994</v>
      </c>
      <c r="AB531">
        <v>24.7</v>
      </c>
      <c r="AC531" t="s">
        <v>64</v>
      </c>
      <c r="AE531" t="s">
        <v>65</v>
      </c>
      <c r="AF531" t="s">
        <v>66</v>
      </c>
      <c r="AG531" t="s">
        <v>711</v>
      </c>
      <c r="AH531" s="1">
        <v>0.59378472222222223</v>
      </c>
      <c r="AI531" t="s">
        <v>68</v>
      </c>
      <c r="AJ531" t="s">
        <v>69</v>
      </c>
      <c r="AO531">
        <v>7.4980000000000002</v>
      </c>
      <c r="AP531">
        <v>39.515000000000001</v>
      </c>
      <c r="AQ531">
        <v>25.6</v>
      </c>
      <c r="AR531">
        <v>1.875</v>
      </c>
      <c r="AS531">
        <v>35.798999999999999</v>
      </c>
      <c r="AT531">
        <v>102.6</v>
      </c>
      <c r="AY531">
        <v>2.36</v>
      </c>
      <c r="AZ531" t="s">
        <v>2286</v>
      </c>
      <c r="BB531" t="s">
        <v>2286</v>
      </c>
      <c r="BD531" t="s">
        <v>68</v>
      </c>
      <c r="BE531" t="s">
        <v>2287</v>
      </c>
      <c r="BF531" t="s">
        <v>2288</v>
      </c>
      <c r="BG531" t="s">
        <v>2289</v>
      </c>
      <c r="BH531">
        <v>0</v>
      </c>
      <c r="BI531">
        <v>1</v>
      </c>
      <c r="BJ531">
        <v>2</v>
      </c>
      <c r="BK531" t="s">
        <v>2290</v>
      </c>
      <c r="BL531">
        <v>8.8620000000000001</v>
      </c>
      <c r="BM531">
        <v>9.0256000000000007</v>
      </c>
      <c r="BN531" s="2">
        <v>42774</v>
      </c>
      <c r="BO531" s="1">
        <v>0.36211805555555554</v>
      </c>
      <c r="BP531" s="3">
        <f t="shared" si="52"/>
        <v>1.0076674436258528</v>
      </c>
      <c r="BQ531" s="3">
        <f t="shared" si="53"/>
        <v>1.0090126684694214</v>
      </c>
    </row>
    <row r="532" spans="1:69" hidden="1" x14ac:dyDescent="0.35">
      <c r="A532">
        <v>530</v>
      </c>
      <c r="B532">
        <v>3765</v>
      </c>
      <c r="D532">
        <v>5</v>
      </c>
      <c r="E532">
        <v>6</v>
      </c>
      <c r="G532">
        <v>16335</v>
      </c>
      <c r="I532" t="s">
        <v>62</v>
      </c>
      <c r="L532" t="s">
        <v>1184</v>
      </c>
      <c r="M532">
        <v>9.31</v>
      </c>
      <c r="N532">
        <v>38.299999999999997</v>
      </c>
      <c r="O532">
        <v>8.8000000000000007</v>
      </c>
      <c r="P532" s="3">
        <f t="shared" si="48"/>
        <v>0.94522019334049412</v>
      </c>
      <c r="Q532">
        <v>31.3</v>
      </c>
      <c r="R532" s="3">
        <f t="shared" si="49"/>
        <v>0.81723237597911236</v>
      </c>
      <c r="S532">
        <v>275</v>
      </c>
      <c r="T532">
        <v>9.3490000000000002</v>
      </c>
      <c r="U532">
        <v>38.53</v>
      </c>
      <c r="V532">
        <v>8.9039999999999999</v>
      </c>
      <c r="W532" s="3">
        <f t="shared" si="50"/>
        <v>0.95240132634506358</v>
      </c>
      <c r="X532">
        <v>31.77</v>
      </c>
      <c r="Y532" s="3">
        <f t="shared" si="51"/>
        <v>0.82455229691149745</v>
      </c>
      <c r="Z532">
        <v>282.89999999999998</v>
      </c>
      <c r="AA532">
        <v>78.5</v>
      </c>
      <c r="AB532">
        <v>24.7</v>
      </c>
      <c r="AC532" t="s">
        <v>64</v>
      </c>
      <c r="AE532" t="s">
        <v>65</v>
      </c>
      <c r="AF532" t="s">
        <v>66</v>
      </c>
      <c r="AG532" t="s">
        <v>1105</v>
      </c>
      <c r="AH532" s="1">
        <v>0.38284722222222223</v>
      </c>
      <c r="AI532" t="s">
        <v>68</v>
      </c>
      <c r="AJ532" t="s">
        <v>69</v>
      </c>
      <c r="AO532">
        <v>7.508</v>
      </c>
      <c r="AP532">
        <v>39.853000000000002</v>
      </c>
      <c r="AQ532">
        <v>25.6</v>
      </c>
      <c r="AR532">
        <v>1.88</v>
      </c>
      <c r="AS532">
        <v>36.137</v>
      </c>
      <c r="AT532">
        <v>102.6</v>
      </c>
      <c r="AY532">
        <v>2.36</v>
      </c>
      <c r="AZ532" t="s">
        <v>185</v>
      </c>
      <c r="BB532" t="s">
        <v>185</v>
      </c>
      <c r="BD532" t="s">
        <v>68</v>
      </c>
      <c r="BE532" t="s">
        <v>2291</v>
      </c>
      <c r="BF532" t="s">
        <v>2292</v>
      </c>
      <c r="BG532" t="s">
        <v>2293</v>
      </c>
      <c r="BH532">
        <v>0</v>
      </c>
      <c r="BI532">
        <v>0</v>
      </c>
      <c r="BJ532">
        <v>2</v>
      </c>
      <c r="BK532" t="s">
        <v>2294</v>
      </c>
      <c r="BL532">
        <v>8.8620000000000001</v>
      </c>
      <c r="BM532">
        <v>9.0256000000000007</v>
      </c>
      <c r="BN532" s="2">
        <v>42774</v>
      </c>
      <c r="BO532" s="1">
        <v>0.36211805555555554</v>
      </c>
      <c r="BP532" s="3">
        <f t="shared" si="52"/>
        <v>1.0075973123036979</v>
      </c>
      <c r="BQ532" s="3">
        <f t="shared" si="53"/>
        <v>1.0089569639524074</v>
      </c>
    </row>
    <row r="533" spans="1:69" hidden="1" x14ac:dyDescent="0.35">
      <c r="A533">
        <v>531</v>
      </c>
      <c r="B533">
        <v>3646</v>
      </c>
      <c r="D533">
        <v>5</v>
      </c>
      <c r="E533">
        <v>6</v>
      </c>
      <c r="G533">
        <v>16335</v>
      </c>
      <c r="I533" t="s">
        <v>62</v>
      </c>
      <c r="L533" t="s">
        <v>2220</v>
      </c>
      <c r="M533">
        <v>9.31</v>
      </c>
      <c r="N533">
        <v>38.299999999999997</v>
      </c>
      <c r="O533">
        <v>8.8000000000000007</v>
      </c>
      <c r="P533" s="3">
        <f t="shared" si="48"/>
        <v>0.94522019334049412</v>
      </c>
      <c r="Q533">
        <v>31.3</v>
      </c>
      <c r="R533" s="3">
        <f t="shared" si="49"/>
        <v>0.81723237597911236</v>
      </c>
      <c r="S533">
        <v>275</v>
      </c>
      <c r="T533">
        <v>9.4149999999999991</v>
      </c>
      <c r="U533">
        <v>38.49</v>
      </c>
      <c r="V533">
        <v>8.9290000000000003</v>
      </c>
      <c r="W533" s="3">
        <f t="shared" si="50"/>
        <v>0.94838024429102508</v>
      </c>
      <c r="X533">
        <v>31.47</v>
      </c>
      <c r="Y533" s="3">
        <f t="shared" si="51"/>
        <v>0.81761496492595476</v>
      </c>
      <c r="Z533">
        <v>281</v>
      </c>
      <c r="AA533">
        <v>77.5</v>
      </c>
      <c r="AB533">
        <v>24.7</v>
      </c>
      <c r="AC533" t="s">
        <v>64</v>
      </c>
      <c r="AE533" t="s">
        <v>65</v>
      </c>
      <c r="AF533" t="s">
        <v>66</v>
      </c>
      <c r="AG533" t="s">
        <v>711</v>
      </c>
      <c r="AH533" s="1">
        <v>0.60594907407407406</v>
      </c>
      <c r="AI533" t="s">
        <v>68</v>
      </c>
      <c r="AJ533" t="s">
        <v>69</v>
      </c>
      <c r="AO533">
        <v>7.4980000000000002</v>
      </c>
      <c r="AP533">
        <v>39.74</v>
      </c>
      <c r="AQ533">
        <v>25.6</v>
      </c>
      <c r="AR533">
        <v>1.875</v>
      </c>
      <c r="AS533">
        <v>35.762</v>
      </c>
      <c r="AT533">
        <v>102.6</v>
      </c>
      <c r="AY533">
        <v>2.36</v>
      </c>
      <c r="AZ533" t="s">
        <v>2286</v>
      </c>
      <c r="BB533" t="s">
        <v>2286</v>
      </c>
      <c r="BD533" t="s">
        <v>68</v>
      </c>
      <c r="BE533" t="s">
        <v>2295</v>
      </c>
      <c r="BF533" t="s">
        <v>2296</v>
      </c>
      <c r="BG533" t="s">
        <v>2297</v>
      </c>
      <c r="BH533">
        <v>0</v>
      </c>
      <c r="BI533">
        <v>1</v>
      </c>
      <c r="BJ533">
        <v>2</v>
      </c>
      <c r="BK533" t="s">
        <v>2298</v>
      </c>
      <c r="BL533">
        <v>8.8620000000000001</v>
      </c>
      <c r="BM533">
        <v>9.0256000000000007</v>
      </c>
      <c r="BN533" t="s">
        <v>1211</v>
      </c>
      <c r="BO533" s="1">
        <v>0.48400462962962965</v>
      </c>
      <c r="BP533" s="3">
        <f t="shared" si="52"/>
        <v>1.0033431902669823</v>
      </c>
      <c r="BQ533" s="3">
        <f t="shared" si="53"/>
        <v>1.000468151970098</v>
      </c>
    </row>
    <row r="534" spans="1:69" hidden="1" x14ac:dyDescent="0.35">
      <c r="A534">
        <v>532</v>
      </c>
      <c r="B534">
        <v>3646</v>
      </c>
      <c r="D534">
        <v>5</v>
      </c>
      <c r="E534">
        <v>6</v>
      </c>
      <c r="G534">
        <v>16335</v>
      </c>
      <c r="I534" t="s">
        <v>62</v>
      </c>
      <c r="L534" t="s">
        <v>1235</v>
      </c>
      <c r="M534">
        <v>9.31</v>
      </c>
      <c r="N534">
        <v>38.299999999999997</v>
      </c>
      <c r="O534">
        <v>8.8000000000000007</v>
      </c>
      <c r="P534" s="3">
        <f t="shared" si="48"/>
        <v>0.94522019334049412</v>
      </c>
      <c r="Q534">
        <v>31.3</v>
      </c>
      <c r="R534" s="3">
        <f t="shared" si="49"/>
        <v>0.81723237597911236</v>
      </c>
      <c r="S534">
        <v>275</v>
      </c>
      <c r="T534">
        <v>9.4250000000000007</v>
      </c>
      <c r="U534">
        <v>38.479999999999997</v>
      </c>
      <c r="V534">
        <v>8.9329999999999998</v>
      </c>
      <c r="W534" s="3">
        <f t="shared" si="50"/>
        <v>0.94779840848806363</v>
      </c>
      <c r="X534">
        <v>31.52</v>
      </c>
      <c r="Y534" s="3">
        <f t="shared" si="51"/>
        <v>0.81912681912681917</v>
      </c>
      <c r="Z534">
        <v>281.60000000000002</v>
      </c>
      <c r="AA534">
        <v>77.599999999999994</v>
      </c>
      <c r="AB534">
        <v>24.8</v>
      </c>
      <c r="AC534" t="s">
        <v>64</v>
      </c>
      <c r="AE534" t="s">
        <v>65</v>
      </c>
      <c r="AF534" t="s">
        <v>66</v>
      </c>
      <c r="AG534" t="s">
        <v>1105</v>
      </c>
      <c r="AH534" s="1">
        <v>0.39243055555555556</v>
      </c>
      <c r="AI534" t="s">
        <v>68</v>
      </c>
      <c r="AJ534" t="s">
        <v>69</v>
      </c>
      <c r="AO534">
        <v>7.508</v>
      </c>
      <c r="AP534">
        <v>40.003</v>
      </c>
      <c r="AQ534">
        <v>25.6</v>
      </c>
      <c r="AR534">
        <v>1.825</v>
      </c>
      <c r="AS534">
        <v>36.061999999999998</v>
      </c>
      <c r="AT534">
        <v>102.6</v>
      </c>
      <c r="AY534">
        <v>2.36</v>
      </c>
      <c r="AZ534" t="s">
        <v>185</v>
      </c>
      <c r="BB534" t="s">
        <v>185</v>
      </c>
      <c r="BD534" t="s">
        <v>68</v>
      </c>
      <c r="BE534" t="s">
        <v>2299</v>
      </c>
      <c r="BF534" t="s">
        <v>2300</v>
      </c>
      <c r="BG534" t="s">
        <v>2301</v>
      </c>
      <c r="BH534">
        <v>0</v>
      </c>
      <c r="BI534">
        <v>0</v>
      </c>
      <c r="BJ534">
        <v>2</v>
      </c>
      <c r="BK534" t="s">
        <v>2302</v>
      </c>
      <c r="BL534">
        <v>8.8620000000000001</v>
      </c>
      <c r="BM534">
        <v>9.0256000000000007</v>
      </c>
      <c r="BN534" t="s">
        <v>1211</v>
      </c>
      <c r="BO534" s="1">
        <v>0.48400462962962965</v>
      </c>
      <c r="BP534" s="3">
        <f t="shared" si="52"/>
        <v>1.0027276344345308</v>
      </c>
      <c r="BQ534" s="3">
        <f t="shared" si="53"/>
        <v>1.0023181205289831</v>
      </c>
    </row>
    <row r="535" spans="1:69" hidden="1" x14ac:dyDescent="0.35">
      <c r="A535">
        <v>533</v>
      </c>
      <c r="B535">
        <v>3657</v>
      </c>
      <c r="D535">
        <v>5</v>
      </c>
      <c r="E535">
        <v>6</v>
      </c>
      <c r="G535">
        <v>16335</v>
      </c>
      <c r="I535" t="s">
        <v>62</v>
      </c>
      <c r="L535" t="s">
        <v>2220</v>
      </c>
      <c r="M535">
        <v>9.31</v>
      </c>
      <c r="N535">
        <v>38.299999999999997</v>
      </c>
      <c r="O535">
        <v>8.8000000000000007</v>
      </c>
      <c r="P535" s="3">
        <f t="shared" si="48"/>
        <v>0.94522019334049412</v>
      </c>
      <c r="Q535">
        <v>31.3</v>
      </c>
      <c r="R535" s="3">
        <f t="shared" si="49"/>
        <v>0.81723237597911236</v>
      </c>
      <c r="S535">
        <v>275</v>
      </c>
      <c r="T535">
        <v>9.3810000000000002</v>
      </c>
      <c r="U535">
        <v>38.49</v>
      </c>
      <c r="V535">
        <v>8.9359999999999999</v>
      </c>
      <c r="W535" s="3">
        <f t="shared" si="50"/>
        <v>0.95256369257008844</v>
      </c>
      <c r="X535">
        <v>31.37</v>
      </c>
      <c r="Y535" s="3">
        <f t="shared" si="51"/>
        <v>0.81501688750324763</v>
      </c>
      <c r="Z535">
        <v>280.3</v>
      </c>
      <c r="AA535">
        <v>77.599999999999994</v>
      </c>
      <c r="AB535">
        <v>24.6</v>
      </c>
      <c r="AC535" t="s">
        <v>64</v>
      </c>
      <c r="AE535" t="s">
        <v>65</v>
      </c>
      <c r="AF535" t="s">
        <v>66</v>
      </c>
      <c r="AG535" t="s">
        <v>711</v>
      </c>
      <c r="AH535" s="1">
        <v>0.6047569444444445</v>
      </c>
      <c r="AI535" t="s">
        <v>68</v>
      </c>
      <c r="AJ535" t="s">
        <v>69</v>
      </c>
      <c r="AO535">
        <v>7.4980000000000002</v>
      </c>
      <c r="AP535">
        <v>39.965000000000003</v>
      </c>
      <c r="AQ535">
        <v>25.6</v>
      </c>
      <c r="AR535">
        <v>1.875</v>
      </c>
      <c r="AS535">
        <v>35.874000000000002</v>
      </c>
      <c r="AT535">
        <v>102.6</v>
      </c>
      <c r="AY535">
        <v>2.36</v>
      </c>
      <c r="AZ535" t="s">
        <v>2286</v>
      </c>
      <c r="BB535" t="s">
        <v>2286</v>
      </c>
      <c r="BD535" t="s">
        <v>68</v>
      </c>
      <c r="BE535" t="s">
        <v>2303</v>
      </c>
      <c r="BF535" t="s">
        <v>2304</v>
      </c>
      <c r="BG535" t="s">
        <v>2305</v>
      </c>
      <c r="BH535">
        <v>0</v>
      </c>
      <c r="BI535">
        <v>1</v>
      </c>
      <c r="BJ535">
        <v>2</v>
      </c>
      <c r="BK535" t="s">
        <v>2306</v>
      </c>
      <c r="BL535">
        <v>8.8620000000000001</v>
      </c>
      <c r="BM535">
        <v>9.0256000000000007</v>
      </c>
      <c r="BN535" t="s">
        <v>1211</v>
      </c>
      <c r="BO535" s="1">
        <v>0.46104166666666668</v>
      </c>
      <c r="BP535" s="3">
        <f t="shared" si="52"/>
        <v>1.0077690883894912</v>
      </c>
      <c r="BQ535" s="3">
        <f t="shared" si="53"/>
        <v>0.99728903486819109</v>
      </c>
    </row>
    <row r="536" spans="1:69" hidden="1" x14ac:dyDescent="0.35">
      <c r="A536">
        <v>534</v>
      </c>
      <c r="B536">
        <v>3657</v>
      </c>
      <c r="D536">
        <v>5</v>
      </c>
      <c r="E536">
        <v>6</v>
      </c>
      <c r="G536">
        <v>16335</v>
      </c>
      <c r="I536" t="s">
        <v>62</v>
      </c>
      <c r="L536" t="s">
        <v>1235</v>
      </c>
      <c r="M536">
        <v>9.31</v>
      </c>
      <c r="N536">
        <v>38.299999999999997</v>
      </c>
      <c r="O536">
        <v>8.8000000000000007</v>
      </c>
      <c r="P536" s="3">
        <f t="shared" si="48"/>
        <v>0.94522019334049412</v>
      </c>
      <c r="Q536">
        <v>31.3</v>
      </c>
      <c r="R536" s="3">
        <f t="shared" si="49"/>
        <v>0.81723237597911236</v>
      </c>
      <c r="S536">
        <v>275</v>
      </c>
      <c r="T536">
        <v>9.3930000000000007</v>
      </c>
      <c r="U536">
        <v>38.49</v>
      </c>
      <c r="V536">
        <v>8.9459999999999997</v>
      </c>
      <c r="W536" s="3">
        <f t="shared" si="50"/>
        <v>0.95241137016927491</v>
      </c>
      <c r="X536">
        <v>31.45</v>
      </c>
      <c r="Y536" s="3">
        <f t="shared" si="51"/>
        <v>0.81709534944141327</v>
      </c>
      <c r="Z536">
        <v>281.39999999999998</v>
      </c>
      <c r="AA536">
        <v>77.8</v>
      </c>
      <c r="AB536">
        <v>24.8</v>
      </c>
      <c r="AC536" t="s">
        <v>64</v>
      </c>
      <c r="AE536" t="s">
        <v>65</v>
      </c>
      <c r="AF536" t="s">
        <v>66</v>
      </c>
      <c r="AG536" t="s">
        <v>1105</v>
      </c>
      <c r="AH536" s="1">
        <v>0.39356481481481481</v>
      </c>
      <c r="AI536" t="s">
        <v>68</v>
      </c>
      <c r="AJ536" t="s">
        <v>69</v>
      </c>
      <c r="AO536">
        <v>7.5129999999999999</v>
      </c>
      <c r="AP536">
        <v>39.978000000000002</v>
      </c>
      <c r="AQ536">
        <v>25.6</v>
      </c>
      <c r="AR536">
        <v>1.88</v>
      </c>
      <c r="AS536">
        <v>36.024999999999999</v>
      </c>
      <c r="AT536">
        <v>102.6</v>
      </c>
      <c r="AY536">
        <v>2.36</v>
      </c>
      <c r="AZ536" t="s">
        <v>185</v>
      </c>
      <c r="BB536" t="s">
        <v>185</v>
      </c>
      <c r="BD536" t="s">
        <v>68</v>
      </c>
      <c r="BE536" t="s">
        <v>2307</v>
      </c>
      <c r="BF536" t="s">
        <v>2308</v>
      </c>
      <c r="BG536" t="s">
        <v>2309</v>
      </c>
      <c r="BH536">
        <v>0</v>
      </c>
      <c r="BI536">
        <v>0</v>
      </c>
      <c r="BJ536">
        <v>2</v>
      </c>
      <c r="BK536" t="s">
        <v>2310</v>
      </c>
      <c r="BL536">
        <v>8.8620000000000001</v>
      </c>
      <c r="BM536">
        <v>9.0256000000000007</v>
      </c>
      <c r="BN536" t="s">
        <v>1211</v>
      </c>
      <c r="BO536" s="1">
        <v>0.46104166666666668</v>
      </c>
      <c r="BP536" s="3">
        <f t="shared" si="52"/>
        <v>1.007607938213176</v>
      </c>
      <c r="BQ536" s="3">
        <f t="shared" si="53"/>
        <v>0.99983232854971649</v>
      </c>
    </row>
    <row r="537" spans="1:69" hidden="1" x14ac:dyDescent="0.35">
      <c r="A537">
        <v>535</v>
      </c>
      <c r="B537">
        <v>3257</v>
      </c>
      <c r="D537">
        <v>5</v>
      </c>
      <c r="E537">
        <v>6</v>
      </c>
      <c r="G537">
        <v>16335</v>
      </c>
      <c r="I537" t="s">
        <v>62</v>
      </c>
      <c r="L537" t="s">
        <v>1206</v>
      </c>
      <c r="M537">
        <v>9.31</v>
      </c>
      <c r="N537">
        <v>38.299999999999997</v>
      </c>
      <c r="O537">
        <v>8.8000000000000007</v>
      </c>
      <c r="P537" s="3">
        <f t="shared" si="48"/>
        <v>0.94522019334049412</v>
      </c>
      <c r="Q537">
        <v>31.3</v>
      </c>
      <c r="R537" s="3">
        <f t="shared" si="49"/>
        <v>0.81723237597911236</v>
      </c>
      <c r="S537">
        <v>275</v>
      </c>
      <c r="T537">
        <v>9.3249999999999993</v>
      </c>
      <c r="U537">
        <v>38.450000000000003</v>
      </c>
      <c r="V537">
        <v>8.8930000000000007</v>
      </c>
      <c r="W537" s="3">
        <f t="shared" si="50"/>
        <v>0.95367292225201084</v>
      </c>
      <c r="X537">
        <v>31.54</v>
      </c>
      <c r="Y537" s="3">
        <f t="shared" si="51"/>
        <v>0.82028608582574769</v>
      </c>
      <c r="Z537">
        <v>280.5</v>
      </c>
      <c r="AA537">
        <v>78.2</v>
      </c>
      <c r="AB537">
        <v>24.7</v>
      </c>
      <c r="AC537" t="s">
        <v>64</v>
      </c>
      <c r="AE537" t="s">
        <v>65</v>
      </c>
      <c r="AF537" t="s">
        <v>66</v>
      </c>
      <c r="AG537" t="s">
        <v>711</v>
      </c>
      <c r="AH537" s="1">
        <v>0.59954861111111113</v>
      </c>
      <c r="AI537" t="s">
        <v>68</v>
      </c>
      <c r="AJ537" t="s">
        <v>69</v>
      </c>
      <c r="AO537">
        <v>7.4980000000000002</v>
      </c>
      <c r="AP537">
        <v>39.628</v>
      </c>
      <c r="AQ537">
        <v>25.6</v>
      </c>
      <c r="AR537">
        <v>1.875</v>
      </c>
      <c r="AS537">
        <v>36.612000000000002</v>
      </c>
      <c r="AT537">
        <v>102.6</v>
      </c>
      <c r="AY537">
        <v>2.36</v>
      </c>
      <c r="AZ537" t="s">
        <v>2286</v>
      </c>
      <c r="BB537" t="s">
        <v>2286</v>
      </c>
      <c r="BD537" t="s">
        <v>68</v>
      </c>
      <c r="BE537" t="s">
        <v>2311</v>
      </c>
      <c r="BF537" t="s">
        <v>2312</v>
      </c>
      <c r="BG537" t="s">
        <v>2313</v>
      </c>
      <c r="BH537">
        <v>0</v>
      </c>
      <c r="BI537">
        <v>0</v>
      </c>
      <c r="BJ537">
        <v>1</v>
      </c>
      <c r="BK537" t="s">
        <v>2314</v>
      </c>
      <c r="BL537">
        <v>8.8620000000000001</v>
      </c>
      <c r="BM537">
        <v>9.0256000000000007</v>
      </c>
      <c r="BN537" t="s">
        <v>1098</v>
      </c>
      <c r="BO537" s="1">
        <v>0.42221064814814813</v>
      </c>
      <c r="BP537" s="3">
        <f t="shared" si="52"/>
        <v>1.0089426029734341</v>
      </c>
      <c r="BQ537" s="3">
        <f t="shared" si="53"/>
        <v>1.0037366481509946</v>
      </c>
    </row>
    <row r="538" spans="1:69" hidden="1" x14ac:dyDescent="0.35">
      <c r="A538">
        <v>536</v>
      </c>
      <c r="B538">
        <v>3255</v>
      </c>
      <c r="D538">
        <v>5</v>
      </c>
      <c r="E538">
        <v>6</v>
      </c>
      <c r="G538">
        <v>16335</v>
      </c>
      <c r="I538" t="s">
        <v>62</v>
      </c>
      <c r="L538" t="s">
        <v>1206</v>
      </c>
      <c r="M538">
        <v>9.31</v>
      </c>
      <c r="N538">
        <v>38.299999999999997</v>
      </c>
      <c r="O538">
        <v>8.8000000000000007</v>
      </c>
      <c r="P538" s="3">
        <f t="shared" si="48"/>
        <v>0.94522019334049412</v>
      </c>
      <c r="Q538">
        <v>31.3</v>
      </c>
      <c r="R538" s="3">
        <f t="shared" si="49"/>
        <v>0.81723237597911236</v>
      </c>
      <c r="S538">
        <v>275</v>
      </c>
      <c r="T538">
        <v>9.3810000000000002</v>
      </c>
      <c r="U538">
        <v>38.229999999999997</v>
      </c>
      <c r="V538">
        <v>8.8960000000000008</v>
      </c>
      <c r="W538" s="3">
        <f t="shared" si="50"/>
        <v>0.94829975482357964</v>
      </c>
      <c r="X538">
        <v>31.09</v>
      </c>
      <c r="Y538" s="3">
        <f t="shared" si="51"/>
        <v>0.81323567878629355</v>
      </c>
      <c r="Z538">
        <v>276.60000000000002</v>
      </c>
      <c r="AA538">
        <v>77.099999999999994</v>
      </c>
      <c r="AB538">
        <v>24.6</v>
      </c>
      <c r="AC538" t="s">
        <v>64</v>
      </c>
      <c r="AE538" t="s">
        <v>65</v>
      </c>
      <c r="AF538" t="s">
        <v>66</v>
      </c>
      <c r="AG538" t="s">
        <v>711</v>
      </c>
      <c r="AH538" s="1">
        <v>0.5683449074074074</v>
      </c>
      <c r="AI538" t="s">
        <v>68</v>
      </c>
      <c r="AJ538" t="s">
        <v>69</v>
      </c>
      <c r="AO538">
        <v>7.4980000000000002</v>
      </c>
      <c r="AP538">
        <v>39.356000000000002</v>
      </c>
      <c r="AQ538">
        <v>25.6</v>
      </c>
      <c r="AR538">
        <v>1.875</v>
      </c>
      <c r="AS538">
        <v>35.124000000000002</v>
      </c>
      <c r="AT538">
        <v>102.6</v>
      </c>
      <c r="AY538">
        <v>2.36</v>
      </c>
      <c r="AZ538" t="s">
        <v>2286</v>
      </c>
      <c r="BB538" t="s">
        <v>2286</v>
      </c>
      <c r="BD538" t="s">
        <v>68</v>
      </c>
      <c r="BE538" t="s">
        <v>2315</v>
      </c>
      <c r="BF538" t="s">
        <v>2316</v>
      </c>
      <c r="BG538" t="s">
        <v>2317</v>
      </c>
      <c r="BH538">
        <v>0</v>
      </c>
      <c r="BI538">
        <v>1</v>
      </c>
      <c r="BJ538">
        <v>3</v>
      </c>
      <c r="BK538" t="s">
        <v>2318</v>
      </c>
      <c r="BL538">
        <v>8.8620000000000001</v>
      </c>
      <c r="BM538">
        <v>9.0256000000000007</v>
      </c>
      <c r="BN538" t="s">
        <v>1098</v>
      </c>
      <c r="BO538" s="1">
        <v>0.41584490740740743</v>
      </c>
      <c r="BP538" s="3">
        <f t="shared" si="52"/>
        <v>1.0032580360690371</v>
      </c>
      <c r="BQ538" s="3">
        <f t="shared" si="53"/>
        <v>0.99510947276405881</v>
      </c>
    </row>
    <row r="539" spans="1:69" hidden="1" x14ac:dyDescent="0.35">
      <c r="A539">
        <v>537</v>
      </c>
      <c r="B539">
        <v>3255</v>
      </c>
      <c r="D539">
        <v>5</v>
      </c>
      <c r="E539">
        <v>6</v>
      </c>
      <c r="G539">
        <v>16335</v>
      </c>
      <c r="I539" t="s">
        <v>62</v>
      </c>
      <c r="L539" t="s">
        <v>1104</v>
      </c>
      <c r="M539">
        <v>9.31</v>
      </c>
      <c r="N539">
        <v>38.299999999999997</v>
      </c>
      <c r="O539">
        <v>8.8000000000000007</v>
      </c>
      <c r="P539" s="3">
        <f t="shared" si="48"/>
        <v>0.94522019334049412</v>
      </c>
      <c r="Q539">
        <v>31.3</v>
      </c>
      <c r="R539" s="3">
        <f t="shared" si="49"/>
        <v>0.81723237597911236</v>
      </c>
      <c r="S539">
        <v>275</v>
      </c>
      <c r="T539">
        <v>9.3780000000000001</v>
      </c>
      <c r="U539">
        <v>38.200000000000003</v>
      </c>
      <c r="V539">
        <v>8.8879999999999999</v>
      </c>
      <c r="W539" s="3">
        <f t="shared" si="50"/>
        <v>0.94775005331627216</v>
      </c>
      <c r="X539">
        <v>31.09</v>
      </c>
      <c r="Y539" s="3">
        <f t="shared" si="51"/>
        <v>0.81387434554973814</v>
      </c>
      <c r="Z539">
        <v>276.3</v>
      </c>
      <c r="AA539">
        <v>77.099999999999994</v>
      </c>
      <c r="AB539">
        <v>24.9</v>
      </c>
      <c r="AC539" t="s">
        <v>64</v>
      </c>
      <c r="AE539" t="s">
        <v>65</v>
      </c>
      <c r="AF539" t="s">
        <v>66</v>
      </c>
      <c r="AG539" t="s">
        <v>1105</v>
      </c>
      <c r="AH539" s="1">
        <v>0.37872685185185184</v>
      </c>
      <c r="AI539" t="s">
        <v>68</v>
      </c>
      <c r="AJ539" t="s">
        <v>69</v>
      </c>
      <c r="AO539">
        <v>7.5129999999999999</v>
      </c>
      <c r="AP539">
        <v>39.590000000000003</v>
      </c>
      <c r="AQ539">
        <v>25.6</v>
      </c>
      <c r="AR539">
        <v>1.88</v>
      </c>
      <c r="AS539">
        <v>35.618000000000002</v>
      </c>
      <c r="AT539">
        <v>102.6</v>
      </c>
      <c r="AY539">
        <v>2.36</v>
      </c>
      <c r="AZ539" t="s">
        <v>185</v>
      </c>
      <c r="BB539" t="s">
        <v>185</v>
      </c>
      <c r="BD539" t="s">
        <v>68</v>
      </c>
      <c r="BE539" t="s">
        <v>2319</v>
      </c>
      <c r="BF539" t="s">
        <v>2320</v>
      </c>
      <c r="BG539" t="s">
        <v>2321</v>
      </c>
      <c r="BH539">
        <v>0</v>
      </c>
      <c r="BI539">
        <v>0</v>
      </c>
      <c r="BJ539">
        <v>3</v>
      </c>
      <c r="BK539" t="s">
        <v>2322</v>
      </c>
      <c r="BL539">
        <v>8.8620000000000001</v>
      </c>
      <c r="BM539">
        <v>9.0256000000000007</v>
      </c>
      <c r="BN539" t="s">
        <v>1098</v>
      </c>
      <c r="BO539" s="1">
        <v>0.41584490740740743</v>
      </c>
      <c r="BP539" s="3">
        <f t="shared" si="52"/>
        <v>1.0026764768607379</v>
      </c>
      <c r="BQ539" s="3">
        <f t="shared" si="53"/>
        <v>0.99589097234999902</v>
      </c>
    </row>
    <row r="540" spans="1:69" hidden="1" x14ac:dyDescent="0.35">
      <c r="A540">
        <v>538</v>
      </c>
      <c r="B540">
        <v>3255</v>
      </c>
      <c r="D540">
        <v>5</v>
      </c>
      <c r="E540">
        <v>6</v>
      </c>
      <c r="G540">
        <v>16335</v>
      </c>
      <c r="I540" t="s">
        <v>62</v>
      </c>
      <c r="L540" t="s">
        <v>1092</v>
      </c>
      <c r="M540">
        <v>9.31</v>
      </c>
      <c r="N540">
        <v>38.299999999999997</v>
      </c>
      <c r="O540">
        <v>8.8000000000000007</v>
      </c>
      <c r="P540" s="3">
        <f t="shared" si="48"/>
        <v>0.94522019334049412</v>
      </c>
      <c r="Q540">
        <v>31.3</v>
      </c>
      <c r="R540" s="3">
        <f t="shared" si="49"/>
        <v>0.81723237597911236</v>
      </c>
      <c r="S540">
        <v>275</v>
      </c>
      <c r="T540">
        <v>9.5530000000000008</v>
      </c>
      <c r="U540">
        <v>38.03</v>
      </c>
      <c r="V540">
        <v>9.0489999999999995</v>
      </c>
      <c r="W540" s="3">
        <f t="shared" si="50"/>
        <v>0.94724170417669828</v>
      </c>
      <c r="X540">
        <v>30.89</v>
      </c>
      <c r="Y540" s="3">
        <f t="shared" si="51"/>
        <v>0.81225348409150666</v>
      </c>
      <c r="Z540">
        <v>279.5</v>
      </c>
      <c r="AA540">
        <v>76.900000000000006</v>
      </c>
      <c r="AB540">
        <v>25.7</v>
      </c>
      <c r="AC540" t="s">
        <v>64</v>
      </c>
      <c r="AE540" t="s">
        <v>65</v>
      </c>
      <c r="AF540" t="s">
        <v>66</v>
      </c>
      <c r="AG540" t="s">
        <v>1093</v>
      </c>
      <c r="AH540" s="1">
        <v>0.36575231481481479</v>
      </c>
      <c r="AI540" t="s">
        <v>68</v>
      </c>
      <c r="AJ540" t="s">
        <v>69</v>
      </c>
      <c r="AO540">
        <v>7.4580000000000002</v>
      </c>
      <c r="AP540">
        <v>38.951999999999998</v>
      </c>
      <c r="AQ540">
        <v>38.4</v>
      </c>
      <c r="AR540">
        <v>1.865</v>
      </c>
      <c r="AS540">
        <v>34.936</v>
      </c>
      <c r="AT540">
        <v>153.6</v>
      </c>
      <c r="AY540">
        <v>2.36</v>
      </c>
      <c r="AZ540" t="s">
        <v>2323</v>
      </c>
      <c r="BB540" t="s">
        <v>2323</v>
      </c>
      <c r="BD540" t="s">
        <v>68</v>
      </c>
      <c r="BE540" t="s">
        <v>2324</v>
      </c>
      <c r="BF540" t="s">
        <v>2325</v>
      </c>
      <c r="BG540" t="s">
        <v>2326</v>
      </c>
      <c r="BH540">
        <v>0</v>
      </c>
      <c r="BI540">
        <v>2</v>
      </c>
      <c r="BJ540">
        <v>3</v>
      </c>
      <c r="BK540" t="s">
        <v>2327</v>
      </c>
      <c r="BL540">
        <v>9.0256000000000007</v>
      </c>
      <c r="BM540">
        <v>9.0256000000000007</v>
      </c>
      <c r="BN540" t="s">
        <v>1098</v>
      </c>
      <c r="BO540" s="1">
        <v>0.41584490740740743</v>
      </c>
      <c r="BP540" s="3">
        <f t="shared" si="52"/>
        <v>1.0021386665778478</v>
      </c>
      <c r="BQ540" s="3">
        <f t="shared" si="53"/>
        <v>0.99390761791388826</v>
      </c>
    </row>
    <row r="541" spans="1:69" hidden="1" x14ac:dyDescent="0.35">
      <c r="A541">
        <v>539</v>
      </c>
      <c r="B541">
        <v>3256</v>
      </c>
      <c r="D541">
        <v>5</v>
      </c>
      <c r="E541">
        <v>6</v>
      </c>
      <c r="G541">
        <v>16335</v>
      </c>
      <c r="I541" t="s">
        <v>62</v>
      </c>
      <c r="L541" t="s">
        <v>1206</v>
      </c>
      <c r="M541">
        <v>9.31</v>
      </c>
      <c r="N541">
        <v>38.299999999999997</v>
      </c>
      <c r="O541">
        <v>8.8000000000000007</v>
      </c>
      <c r="P541" s="3">
        <f t="shared" si="48"/>
        <v>0.94522019334049412</v>
      </c>
      <c r="Q541">
        <v>31.3</v>
      </c>
      <c r="R541" s="3">
        <f t="shared" si="49"/>
        <v>0.81723237597911236</v>
      </c>
      <c r="S541">
        <v>275</v>
      </c>
      <c r="T541">
        <v>9.3520000000000003</v>
      </c>
      <c r="U541">
        <v>38.28</v>
      </c>
      <c r="V541">
        <v>8.9209999999999994</v>
      </c>
      <c r="W541" s="3">
        <f t="shared" si="50"/>
        <v>0.95391360136869108</v>
      </c>
      <c r="X541">
        <v>31.23</v>
      </c>
      <c r="Y541" s="3">
        <f t="shared" si="51"/>
        <v>0.81583072100313481</v>
      </c>
      <c r="Z541">
        <v>278.60000000000002</v>
      </c>
      <c r="AA541">
        <v>77.8</v>
      </c>
      <c r="AB541">
        <v>24.6</v>
      </c>
      <c r="AC541" t="s">
        <v>64</v>
      </c>
      <c r="AE541" t="s">
        <v>65</v>
      </c>
      <c r="AF541" t="s">
        <v>66</v>
      </c>
      <c r="AG541" t="s">
        <v>711</v>
      </c>
      <c r="AH541" s="1">
        <v>0.5705324074074074</v>
      </c>
      <c r="AI541" t="s">
        <v>68</v>
      </c>
      <c r="AJ541" t="s">
        <v>69</v>
      </c>
      <c r="AO541">
        <v>7.4980000000000002</v>
      </c>
      <c r="AP541">
        <v>39.023000000000003</v>
      </c>
      <c r="AQ541">
        <v>25.6</v>
      </c>
      <c r="AR541">
        <v>1.87</v>
      </c>
      <c r="AS541">
        <v>34.936</v>
      </c>
      <c r="AT541">
        <v>102.6</v>
      </c>
      <c r="AY541">
        <v>2.36</v>
      </c>
      <c r="AZ541" t="s">
        <v>2286</v>
      </c>
      <c r="BB541" t="s">
        <v>2286</v>
      </c>
      <c r="BD541" t="s">
        <v>68</v>
      </c>
      <c r="BE541" t="s">
        <v>2328</v>
      </c>
      <c r="BF541" t="s">
        <v>2329</v>
      </c>
      <c r="BG541" t="s">
        <v>2330</v>
      </c>
      <c r="BH541">
        <v>0</v>
      </c>
      <c r="BI541">
        <v>1</v>
      </c>
      <c r="BJ541">
        <v>3</v>
      </c>
      <c r="BK541" t="s">
        <v>2331</v>
      </c>
      <c r="BL541">
        <v>8.8620000000000001</v>
      </c>
      <c r="BM541">
        <v>9.0256000000000007</v>
      </c>
      <c r="BN541" t="s">
        <v>1098</v>
      </c>
      <c r="BO541" s="1">
        <v>0.41984953703703703</v>
      </c>
      <c r="BP541" s="3">
        <f t="shared" si="52"/>
        <v>1.0091972305389221</v>
      </c>
      <c r="BQ541" s="3">
        <f t="shared" si="53"/>
        <v>0.99828487586006576</v>
      </c>
    </row>
    <row r="542" spans="1:69" hidden="1" x14ac:dyDescent="0.35">
      <c r="A542">
        <v>540</v>
      </c>
      <c r="B542">
        <v>3256</v>
      </c>
      <c r="D542">
        <v>5</v>
      </c>
      <c r="E542">
        <v>6</v>
      </c>
      <c r="G542">
        <v>16335</v>
      </c>
      <c r="I542" t="s">
        <v>62</v>
      </c>
      <c r="L542" t="s">
        <v>1104</v>
      </c>
      <c r="M542">
        <v>9.31</v>
      </c>
      <c r="N542">
        <v>38.299999999999997</v>
      </c>
      <c r="O542">
        <v>8.8000000000000007</v>
      </c>
      <c r="P542" s="3">
        <f t="shared" si="48"/>
        <v>0.94522019334049412</v>
      </c>
      <c r="Q542">
        <v>31.3</v>
      </c>
      <c r="R542" s="3">
        <f t="shared" si="49"/>
        <v>0.81723237597911236</v>
      </c>
      <c r="S542">
        <v>275</v>
      </c>
      <c r="T542">
        <v>9.35</v>
      </c>
      <c r="U542">
        <v>38.200000000000003</v>
      </c>
      <c r="V542">
        <v>8.9120000000000008</v>
      </c>
      <c r="W542" s="3">
        <f t="shared" si="50"/>
        <v>0.95315508021390383</v>
      </c>
      <c r="X542">
        <v>31.18</v>
      </c>
      <c r="Y542" s="3">
        <f t="shared" si="51"/>
        <v>0.81623036649214653</v>
      </c>
      <c r="Z542">
        <v>277.89999999999998</v>
      </c>
      <c r="AA542">
        <v>77.8</v>
      </c>
      <c r="AB542">
        <v>24.9</v>
      </c>
      <c r="AC542" t="s">
        <v>64</v>
      </c>
      <c r="AE542" t="s">
        <v>65</v>
      </c>
      <c r="AF542" t="s">
        <v>66</v>
      </c>
      <c r="AG542" t="s">
        <v>1105</v>
      </c>
      <c r="AH542" s="1">
        <v>0.37671296296296297</v>
      </c>
      <c r="AI542" t="s">
        <v>68</v>
      </c>
      <c r="AJ542" t="s">
        <v>69</v>
      </c>
      <c r="AO542">
        <v>7.508</v>
      </c>
      <c r="AP542">
        <v>39.44</v>
      </c>
      <c r="AQ542">
        <v>25.6</v>
      </c>
      <c r="AR542">
        <v>1.88</v>
      </c>
      <c r="AS542">
        <v>35.536999999999999</v>
      </c>
      <c r="AT542">
        <v>102.6</v>
      </c>
      <c r="AY542">
        <v>2.36</v>
      </c>
      <c r="AZ542" t="s">
        <v>185</v>
      </c>
      <c r="BB542" t="s">
        <v>185</v>
      </c>
      <c r="BD542" t="s">
        <v>68</v>
      </c>
      <c r="BE542" t="s">
        <v>2332</v>
      </c>
      <c r="BF542" t="s">
        <v>2333</v>
      </c>
      <c r="BG542" t="s">
        <v>2334</v>
      </c>
      <c r="BH542">
        <v>0</v>
      </c>
      <c r="BI542">
        <v>0</v>
      </c>
      <c r="BJ542">
        <v>3</v>
      </c>
      <c r="BK542" t="s">
        <v>2335</v>
      </c>
      <c r="BL542">
        <v>8.8620000000000001</v>
      </c>
      <c r="BM542">
        <v>9.0256000000000007</v>
      </c>
      <c r="BN542" t="s">
        <v>1098</v>
      </c>
      <c r="BO542" s="1">
        <v>0.41984953703703703</v>
      </c>
      <c r="BP542" s="3">
        <f t="shared" si="52"/>
        <v>1.0083947496353913</v>
      </c>
      <c r="BQ542" s="3">
        <f t="shared" si="53"/>
        <v>0.99877389893447954</v>
      </c>
    </row>
    <row r="543" spans="1:69" hidden="1" x14ac:dyDescent="0.35">
      <c r="A543">
        <v>541</v>
      </c>
      <c r="B543">
        <v>3256</v>
      </c>
      <c r="D543">
        <v>5</v>
      </c>
      <c r="E543">
        <v>6</v>
      </c>
      <c r="G543">
        <v>16335</v>
      </c>
      <c r="I543" t="s">
        <v>62</v>
      </c>
      <c r="L543" t="s">
        <v>1092</v>
      </c>
      <c r="M543">
        <v>9.31</v>
      </c>
      <c r="N543">
        <v>38.299999999999997</v>
      </c>
      <c r="O543">
        <v>8.8000000000000007</v>
      </c>
      <c r="P543" s="3">
        <f t="shared" si="48"/>
        <v>0.94522019334049412</v>
      </c>
      <c r="Q543">
        <v>31.3</v>
      </c>
      <c r="R543" s="3">
        <f t="shared" si="49"/>
        <v>0.81723237597911236</v>
      </c>
      <c r="S543">
        <v>275</v>
      </c>
      <c r="T543">
        <v>9.5190000000000001</v>
      </c>
      <c r="U543">
        <v>38.090000000000003</v>
      </c>
      <c r="V543">
        <v>9.0649999999999995</v>
      </c>
      <c r="W543" s="3">
        <f t="shared" si="50"/>
        <v>0.95230591448681579</v>
      </c>
      <c r="X543">
        <v>31.03</v>
      </c>
      <c r="Y543" s="3">
        <f t="shared" si="51"/>
        <v>0.8146495143082173</v>
      </c>
      <c r="Z543">
        <v>281.3</v>
      </c>
      <c r="AA543">
        <v>77.599999999999994</v>
      </c>
      <c r="AB543">
        <v>25.5</v>
      </c>
      <c r="AC543" t="s">
        <v>64</v>
      </c>
      <c r="AE543" t="s">
        <v>65</v>
      </c>
      <c r="AF543" t="s">
        <v>66</v>
      </c>
      <c r="AG543" t="s">
        <v>1093</v>
      </c>
      <c r="AH543" s="1">
        <v>0.36824074074074076</v>
      </c>
      <c r="AI543" t="s">
        <v>68</v>
      </c>
      <c r="AJ543" t="s">
        <v>69</v>
      </c>
      <c r="AO543">
        <v>7.4580000000000002</v>
      </c>
      <c r="AP543">
        <v>38.802</v>
      </c>
      <c r="AQ543">
        <v>25.6</v>
      </c>
      <c r="AR543">
        <v>1.865</v>
      </c>
      <c r="AS543">
        <v>34.936</v>
      </c>
      <c r="AT543">
        <v>153.6</v>
      </c>
      <c r="AY543">
        <v>2.36</v>
      </c>
      <c r="AZ543" t="s">
        <v>2323</v>
      </c>
      <c r="BB543" t="s">
        <v>2323</v>
      </c>
      <c r="BD543" t="s">
        <v>68</v>
      </c>
      <c r="BE543" t="s">
        <v>2336</v>
      </c>
      <c r="BF543" t="s">
        <v>2337</v>
      </c>
      <c r="BG543" t="s">
        <v>2338</v>
      </c>
      <c r="BH543">
        <v>0</v>
      </c>
      <c r="BI543">
        <v>2</v>
      </c>
      <c r="BJ543">
        <v>3</v>
      </c>
      <c r="BK543" t="s">
        <v>2339</v>
      </c>
      <c r="BL543">
        <v>9.0256000000000007</v>
      </c>
      <c r="BM543">
        <v>9.0256000000000007</v>
      </c>
      <c r="BN543" t="s">
        <v>1098</v>
      </c>
      <c r="BO543" s="1">
        <v>0.41984953703703703</v>
      </c>
      <c r="BP543" s="3">
        <f t="shared" si="52"/>
        <v>1.0074963708945743</v>
      </c>
      <c r="BQ543" s="3">
        <f t="shared" si="53"/>
        <v>0.99683950153369716</v>
      </c>
    </row>
    <row r="544" spans="1:69" hidden="1" x14ac:dyDescent="0.35">
      <c r="A544">
        <v>542</v>
      </c>
      <c r="B544">
        <v>3770</v>
      </c>
      <c r="D544">
        <v>5</v>
      </c>
      <c r="E544">
        <v>6</v>
      </c>
      <c r="G544">
        <v>16335</v>
      </c>
      <c r="I544" t="s">
        <v>62</v>
      </c>
      <c r="L544" t="s">
        <v>2285</v>
      </c>
      <c r="M544">
        <v>9.31</v>
      </c>
      <c r="N544">
        <v>38.299999999999997</v>
      </c>
      <c r="O544">
        <v>8.8000000000000007</v>
      </c>
      <c r="P544" s="3">
        <f t="shared" si="48"/>
        <v>0.94522019334049412</v>
      </c>
      <c r="Q544">
        <v>31.3</v>
      </c>
      <c r="R544" s="3">
        <f t="shared" si="49"/>
        <v>0.81723237597911236</v>
      </c>
      <c r="S544">
        <v>275</v>
      </c>
      <c r="T544">
        <v>9.3699999999999992</v>
      </c>
      <c r="U544">
        <v>38.64</v>
      </c>
      <c r="V544">
        <v>8.9459999999999997</v>
      </c>
      <c r="W544" s="3">
        <f t="shared" si="50"/>
        <v>0.95474919957310567</v>
      </c>
      <c r="X544">
        <v>31.81</v>
      </c>
      <c r="Y544" s="3">
        <f t="shared" si="51"/>
        <v>0.82324016563146996</v>
      </c>
      <c r="Z544">
        <v>284.5</v>
      </c>
      <c r="AA544">
        <v>78.599999999999994</v>
      </c>
      <c r="AB544">
        <v>24.8</v>
      </c>
      <c r="AC544" t="s">
        <v>64</v>
      </c>
      <c r="AE544" t="s">
        <v>65</v>
      </c>
      <c r="AF544" t="s">
        <v>66</v>
      </c>
      <c r="AG544" t="s">
        <v>711</v>
      </c>
      <c r="AH544" s="1">
        <v>0.59732638888888889</v>
      </c>
      <c r="AI544" t="s">
        <v>68</v>
      </c>
      <c r="AJ544" t="s">
        <v>69</v>
      </c>
      <c r="AO544">
        <v>7.4980000000000002</v>
      </c>
      <c r="AP544">
        <v>39.74</v>
      </c>
      <c r="AQ544">
        <v>25.6</v>
      </c>
      <c r="AR544">
        <v>1.875</v>
      </c>
      <c r="AS544" t="s">
        <v>2340</v>
      </c>
      <c r="AT544">
        <v>102.6</v>
      </c>
      <c r="AY544">
        <v>2.36</v>
      </c>
      <c r="AZ544" t="s">
        <v>2286</v>
      </c>
      <c r="BB544" t="s">
        <v>2286</v>
      </c>
      <c r="BD544" t="s">
        <v>68</v>
      </c>
      <c r="BE544" t="s">
        <v>2341</v>
      </c>
      <c r="BF544" t="s">
        <v>2342</v>
      </c>
      <c r="BG544" t="s">
        <v>2343</v>
      </c>
      <c r="BH544">
        <v>0</v>
      </c>
      <c r="BI544">
        <v>0</v>
      </c>
      <c r="BJ544">
        <v>1</v>
      </c>
      <c r="BK544" t="s">
        <v>2344</v>
      </c>
      <c r="BL544">
        <v>8.8620000000000001</v>
      </c>
      <c r="BM544">
        <v>9.0256000000000007</v>
      </c>
      <c r="BN544" s="2">
        <v>42774</v>
      </c>
      <c r="BO544" s="1">
        <v>0.34788194444444442</v>
      </c>
      <c r="BP544" s="3">
        <f t="shared" si="52"/>
        <v>1.0100812554574561</v>
      </c>
      <c r="BQ544" s="3">
        <f t="shared" si="53"/>
        <v>1.0073513847822779</v>
      </c>
    </row>
    <row r="545" spans="1:69" hidden="1" x14ac:dyDescent="0.35">
      <c r="A545">
        <v>543</v>
      </c>
      <c r="B545">
        <v>3666</v>
      </c>
      <c r="D545">
        <v>5</v>
      </c>
      <c r="E545">
        <v>6</v>
      </c>
      <c r="G545">
        <v>16335</v>
      </c>
      <c r="I545" t="s">
        <v>62</v>
      </c>
      <c r="L545" t="s">
        <v>2220</v>
      </c>
      <c r="M545">
        <v>9.31</v>
      </c>
      <c r="N545">
        <v>38.299999999999997</v>
      </c>
      <c r="O545">
        <v>8.8000000000000007</v>
      </c>
      <c r="P545" s="3">
        <f t="shared" si="48"/>
        <v>0.94522019334049412</v>
      </c>
      <c r="Q545">
        <v>31.3</v>
      </c>
      <c r="R545" s="3">
        <f t="shared" si="49"/>
        <v>0.81723237597911236</v>
      </c>
      <c r="S545">
        <v>275</v>
      </c>
      <c r="T545">
        <v>9.3019999999999996</v>
      </c>
      <c r="U545">
        <v>38.520000000000003</v>
      </c>
      <c r="V545">
        <v>8.8650000000000002</v>
      </c>
      <c r="W545" s="3">
        <f t="shared" si="50"/>
        <v>0.95302085572995066</v>
      </c>
      <c r="X545">
        <v>31.56</v>
      </c>
      <c r="Y545" s="3">
        <f t="shared" si="51"/>
        <v>0.81931464174454816</v>
      </c>
      <c r="Z545">
        <v>279.7</v>
      </c>
      <c r="AA545">
        <v>78.099999999999994</v>
      </c>
      <c r="AB545">
        <v>24.7</v>
      </c>
      <c r="AC545" t="s">
        <v>64</v>
      </c>
      <c r="AE545" t="s">
        <v>65</v>
      </c>
      <c r="AF545" t="s">
        <v>66</v>
      </c>
      <c r="AG545" t="s">
        <v>711</v>
      </c>
      <c r="AH545" s="1">
        <v>0.60074074074074069</v>
      </c>
      <c r="AI545" t="s">
        <v>68</v>
      </c>
      <c r="AJ545" t="s">
        <v>69</v>
      </c>
      <c r="AO545">
        <v>7.4980000000000002</v>
      </c>
      <c r="AP545">
        <v>39.74</v>
      </c>
      <c r="AQ545">
        <v>25.6</v>
      </c>
      <c r="AR545">
        <v>1.875</v>
      </c>
      <c r="AS545">
        <v>35.783999999999999</v>
      </c>
      <c r="AT545">
        <v>102.6</v>
      </c>
      <c r="AY545">
        <v>2.36</v>
      </c>
      <c r="AZ545" t="s">
        <v>2286</v>
      </c>
      <c r="BB545" t="s">
        <v>2286</v>
      </c>
      <c r="BD545" t="s">
        <v>68</v>
      </c>
      <c r="BE545" t="s">
        <v>2345</v>
      </c>
      <c r="BF545" t="s">
        <v>2346</v>
      </c>
      <c r="BG545" t="s">
        <v>2347</v>
      </c>
      <c r="BH545">
        <v>0</v>
      </c>
      <c r="BI545">
        <v>1</v>
      </c>
      <c r="BJ545">
        <v>2</v>
      </c>
      <c r="BK545" t="s">
        <v>2348</v>
      </c>
      <c r="BL545">
        <v>8.8620000000000001</v>
      </c>
      <c r="BM545">
        <v>9.0256000000000007</v>
      </c>
      <c r="BN545" t="s">
        <v>1211</v>
      </c>
      <c r="BO545" s="1">
        <v>0.43958333333333333</v>
      </c>
      <c r="BP545" s="3">
        <f t="shared" si="52"/>
        <v>1.008252746232482</v>
      </c>
      <c r="BQ545" s="3">
        <f t="shared" si="53"/>
        <v>1.0025479482049902</v>
      </c>
    </row>
    <row r="546" spans="1:69" hidden="1" x14ac:dyDescent="0.35">
      <c r="A546">
        <v>544</v>
      </c>
      <c r="B546">
        <v>3666</v>
      </c>
      <c r="D546">
        <v>5</v>
      </c>
      <c r="E546">
        <v>6</v>
      </c>
      <c r="G546">
        <v>16335</v>
      </c>
      <c r="I546" t="s">
        <v>62</v>
      </c>
      <c r="L546" t="s">
        <v>1235</v>
      </c>
      <c r="M546">
        <v>9.31</v>
      </c>
      <c r="N546">
        <v>38.299999999999997</v>
      </c>
      <c r="O546">
        <v>8.8000000000000007</v>
      </c>
      <c r="P546" s="3">
        <f t="shared" si="48"/>
        <v>0.94522019334049412</v>
      </c>
      <c r="Q546">
        <v>31.3</v>
      </c>
      <c r="R546" s="3">
        <f t="shared" si="49"/>
        <v>0.81723237597911236</v>
      </c>
      <c r="S546">
        <v>275</v>
      </c>
      <c r="T546">
        <v>9.3109999999999999</v>
      </c>
      <c r="U546">
        <v>38.51</v>
      </c>
      <c r="V546">
        <v>8.8670000000000009</v>
      </c>
      <c r="W546" s="3">
        <f t="shared" si="50"/>
        <v>0.95231446675974663</v>
      </c>
      <c r="X546">
        <v>31.59</v>
      </c>
      <c r="Y546" s="3">
        <f t="shared" si="51"/>
        <v>0.82030641391846282</v>
      </c>
      <c r="Z546">
        <v>280.10000000000002</v>
      </c>
      <c r="AA546">
        <v>78.099999999999994</v>
      </c>
      <c r="AB546">
        <v>24.8</v>
      </c>
      <c r="AC546" t="s">
        <v>64</v>
      </c>
      <c r="AE546" t="s">
        <v>65</v>
      </c>
      <c r="AF546" t="s">
        <v>66</v>
      </c>
      <c r="AG546" t="s">
        <v>1105</v>
      </c>
      <c r="AH546" s="1">
        <v>0.39708333333333334</v>
      </c>
      <c r="AI546" t="s">
        <v>68</v>
      </c>
      <c r="AJ546" t="s">
        <v>69</v>
      </c>
      <c r="AO546">
        <v>7.508</v>
      </c>
      <c r="AP546">
        <v>39.927999999999997</v>
      </c>
      <c r="AQ546">
        <v>25.6</v>
      </c>
      <c r="AR546">
        <v>1.88</v>
      </c>
      <c r="AS546">
        <v>36.061999999999998</v>
      </c>
      <c r="AT546">
        <v>102.6</v>
      </c>
      <c r="AY546">
        <v>2.36</v>
      </c>
      <c r="AZ546" t="s">
        <v>185</v>
      </c>
      <c r="BB546" t="s">
        <v>185</v>
      </c>
      <c r="BD546" t="s">
        <v>68</v>
      </c>
      <c r="BE546" t="s">
        <v>2349</v>
      </c>
      <c r="BF546" t="s">
        <v>2350</v>
      </c>
      <c r="BG546" t="s">
        <v>2351</v>
      </c>
      <c r="BH546">
        <v>0</v>
      </c>
      <c r="BI546">
        <v>0</v>
      </c>
      <c r="BJ546">
        <v>2</v>
      </c>
      <c r="BK546" t="s">
        <v>2352</v>
      </c>
      <c r="BL546">
        <v>8.8620000000000001</v>
      </c>
      <c r="BM546">
        <v>9.0256000000000007</v>
      </c>
      <c r="BN546" t="s">
        <v>1211</v>
      </c>
      <c r="BO546" s="1">
        <v>0.43958333333333333</v>
      </c>
      <c r="BP546" s="3">
        <f t="shared" si="52"/>
        <v>1.0075054188105956</v>
      </c>
      <c r="BQ546" s="3">
        <f t="shared" si="53"/>
        <v>1.0037615224625278</v>
      </c>
    </row>
    <row r="547" spans="1:69" hidden="1" x14ac:dyDescent="0.35">
      <c r="A547">
        <v>545</v>
      </c>
      <c r="B547">
        <v>3648</v>
      </c>
      <c r="D547">
        <v>5</v>
      </c>
      <c r="E547">
        <v>6</v>
      </c>
      <c r="G547">
        <v>16335</v>
      </c>
      <c r="I547" t="s">
        <v>62</v>
      </c>
      <c r="L547" t="s">
        <v>2220</v>
      </c>
      <c r="M547">
        <v>9.31</v>
      </c>
      <c r="N547">
        <v>38.299999999999997</v>
      </c>
      <c r="O547">
        <v>8.8000000000000007</v>
      </c>
      <c r="P547" s="3">
        <f t="shared" si="48"/>
        <v>0.94522019334049412</v>
      </c>
      <c r="Q547">
        <v>31.3</v>
      </c>
      <c r="R547" s="3">
        <f t="shared" si="49"/>
        <v>0.81723237597911236</v>
      </c>
      <c r="S547">
        <v>275</v>
      </c>
      <c r="T547">
        <v>9.3650000000000002</v>
      </c>
      <c r="U547">
        <v>38.520000000000003</v>
      </c>
      <c r="V547">
        <v>8.8960000000000008</v>
      </c>
      <c r="W547" s="3">
        <f t="shared" si="50"/>
        <v>0.94991991457554736</v>
      </c>
      <c r="X547">
        <v>31.54</v>
      </c>
      <c r="Y547" s="3">
        <f t="shared" si="51"/>
        <v>0.81879543094496354</v>
      </c>
      <c r="Z547">
        <v>280.60000000000002</v>
      </c>
      <c r="AA547">
        <v>77.8</v>
      </c>
      <c r="AB547">
        <v>24.8</v>
      </c>
      <c r="AC547" t="s">
        <v>64</v>
      </c>
      <c r="AE547" t="s">
        <v>65</v>
      </c>
      <c r="AF547" t="s">
        <v>66</v>
      </c>
      <c r="AG547" t="s">
        <v>711</v>
      </c>
      <c r="AH547" s="1">
        <v>0.60724537037037041</v>
      </c>
      <c r="AI547" t="s">
        <v>68</v>
      </c>
      <c r="AJ547" t="s">
        <v>69</v>
      </c>
      <c r="AO547">
        <v>7.4980000000000002</v>
      </c>
      <c r="AP547">
        <v>39.74</v>
      </c>
      <c r="AQ547">
        <v>25.6</v>
      </c>
      <c r="AR547">
        <v>1.875</v>
      </c>
      <c r="AS547">
        <v>35.874000000000002</v>
      </c>
      <c r="AT547">
        <v>102.6</v>
      </c>
      <c r="AY547">
        <v>2.36</v>
      </c>
      <c r="AZ547" t="s">
        <v>2286</v>
      </c>
      <c r="BB547" t="s">
        <v>2286</v>
      </c>
      <c r="BD547" t="s">
        <v>68</v>
      </c>
      <c r="BE547" t="s">
        <v>2353</v>
      </c>
      <c r="BF547" t="s">
        <v>2354</v>
      </c>
      <c r="BG547" t="s">
        <v>2355</v>
      </c>
      <c r="BH547">
        <v>0</v>
      </c>
      <c r="BI547">
        <v>0</v>
      </c>
      <c r="BJ547">
        <v>1</v>
      </c>
      <c r="BK547" t="s">
        <v>2356</v>
      </c>
      <c r="BL547">
        <v>8.8620000000000001</v>
      </c>
      <c r="BM547">
        <v>9.0256000000000007</v>
      </c>
      <c r="BN547" t="s">
        <v>1211</v>
      </c>
      <c r="BO547" s="1">
        <v>0.48016203703703703</v>
      </c>
      <c r="BP547" s="3">
        <f t="shared" si="52"/>
        <v>1.0049720914429938</v>
      </c>
      <c r="BQ547" s="3">
        <f t="shared" si="53"/>
        <v>1.0019126199741886</v>
      </c>
    </row>
    <row r="548" spans="1:69" hidden="1" x14ac:dyDescent="0.35">
      <c r="A548">
        <v>546</v>
      </c>
      <c r="B548">
        <v>3659</v>
      </c>
      <c r="D548">
        <v>5</v>
      </c>
      <c r="E548">
        <v>6</v>
      </c>
      <c r="G548">
        <v>16335</v>
      </c>
      <c r="I548" t="s">
        <v>62</v>
      </c>
      <c r="L548" t="s">
        <v>2220</v>
      </c>
      <c r="M548">
        <v>9.31</v>
      </c>
      <c r="N548">
        <v>38.299999999999997</v>
      </c>
      <c r="O548">
        <v>8.8000000000000007</v>
      </c>
      <c r="P548" s="3">
        <f t="shared" si="48"/>
        <v>0.94522019334049412</v>
      </c>
      <c r="Q548">
        <v>31.3</v>
      </c>
      <c r="R548" s="3">
        <f t="shared" si="49"/>
        <v>0.81723237597911236</v>
      </c>
      <c r="S548">
        <v>275</v>
      </c>
      <c r="T548">
        <v>9.3780000000000001</v>
      </c>
      <c r="U548">
        <v>38.53</v>
      </c>
      <c r="V548">
        <v>8.9369999999999994</v>
      </c>
      <c r="W548" s="3">
        <f t="shared" si="50"/>
        <v>0.95297504798464483</v>
      </c>
      <c r="X548">
        <v>31.58</v>
      </c>
      <c r="Y548" s="3">
        <f t="shared" si="51"/>
        <v>0.81962107448741228</v>
      </c>
      <c r="Z548">
        <v>282.3</v>
      </c>
      <c r="AA548">
        <v>78.099999999999994</v>
      </c>
      <c r="AB548">
        <v>24.8</v>
      </c>
      <c r="AC548" t="s">
        <v>64</v>
      </c>
      <c r="AE548" t="s">
        <v>65</v>
      </c>
      <c r="AF548" t="s">
        <v>66</v>
      </c>
      <c r="AG548" t="s">
        <v>711</v>
      </c>
      <c r="AH548" s="1">
        <v>0.6018634259259259</v>
      </c>
      <c r="AI548" t="s">
        <v>68</v>
      </c>
      <c r="AJ548" t="s">
        <v>69</v>
      </c>
      <c r="AO548">
        <v>7.4980000000000002</v>
      </c>
      <c r="AP548">
        <v>39.74</v>
      </c>
      <c r="AQ548">
        <v>25.6</v>
      </c>
      <c r="AR548">
        <v>1.87</v>
      </c>
      <c r="AS548">
        <v>35.844000000000001</v>
      </c>
      <c r="AT548">
        <v>102.6</v>
      </c>
      <c r="AY548">
        <v>2.36</v>
      </c>
      <c r="AZ548" t="s">
        <v>2286</v>
      </c>
      <c r="BB548" t="s">
        <v>2286</v>
      </c>
      <c r="BD548" t="s">
        <v>68</v>
      </c>
      <c r="BE548" t="s">
        <v>2357</v>
      </c>
      <c r="BF548" t="s">
        <v>2358</v>
      </c>
      <c r="BG548" t="s">
        <v>2359</v>
      </c>
      <c r="BH548">
        <v>0</v>
      </c>
      <c r="BI548">
        <v>1</v>
      </c>
      <c r="BJ548">
        <v>2</v>
      </c>
      <c r="BK548" t="s">
        <v>2360</v>
      </c>
      <c r="BL548">
        <v>8.8620000000000001</v>
      </c>
      <c r="BM548">
        <v>9.0256000000000007</v>
      </c>
      <c r="BN548" t="s">
        <v>1211</v>
      </c>
      <c r="BO548" s="1">
        <v>0.45709490740740738</v>
      </c>
      <c r="BP548" s="3">
        <f t="shared" si="52"/>
        <v>1.0082042837201186</v>
      </c>
      <c r="BQ548" s="3">
        <f t="shared" si="53"/>
        <v>1.0029229122322008</v>
      </c>
    </row>
    <row r="549" spans="1:69" hidden="1" x14ac:dyDescent="0.35">
      <c r="A549">
        <v>547</v>
      </c>
      <c r="B549">
        <v>3659</v>
      </c>
      <c r="D549">
        <v>5</v>
      </c>
      <c r="E549">
        <v>6</v>
      </c>
      <c r="G549">
        <v>16335</v>
      </c>
      <c r="I549" t="s">
        <v>62</v>
      </c>
      <c r="L549" t="s">
        <v>1235</v>
      </c>
      <c r="M549">
        <v>9.31</v>
      </c>
      <c r="N549">
        <v>38.299999999999997</v>
      </c>
      <c r="O549">
        <v>8.8000000000000007</v>
      </c>
      <c r="P549" s="3">
        <f t="shared" si="48"/>
        <v>0.94522019334049412</v>
      </c>
      <c r="Q549">
        <v>31.3</v>
      </c>
      <c r="R549" s="3">
        <f t="shared" si="49"/>
        <v>0.81723237597911236</v>
      </c>
      <c r="S549">
        <v>275</v>
      </c>
      <c r="T549">
        <v>9.3940000000000001</v>
      </c>
      <c r="U549">
        <v>38.520000000000003</v>
      </c>
      <c r="V549">
        <v>8.9420000000000002</v>
      </c>
      <c r="W549" s="3">
        <f t="shared" si="50"/>
        <v>0.95188418139237807</v>
      </c>
      <c r="X549">
        <v>31.58</v>
      </c>
      <c r="Y549" s="3">
        <f t="shared" si="51"/>
        <v>0.81983385254413277</v>
      </c>
      <c r="Z549">
        <v>282.39999999999998</v>
      </c>
      <c r="AA549">
        <v>78.099999999999994</v>
      </c>
      <c r="AB549">
        <v>24.7</v>
      </c>
      <c r="AC549" t="s">
        <v>64</v>
      </c>
      <c r="AE549" t="s">
        <v>65</v>
      </c>
      <c r="AF549" t="s">
        <v>66</v>
      </c>
      <c r="AG549" t="s">
        <v>1105</v>
      </c>
      <c r="AH549" s="1">
        <v>0.39568287037037037</v>
      </c>
      <c r="AI549" t="s">
        <v>68</v>
      </c>
      <c r="AJ549" t="s">
        <v>69</v>
      </c>
      <c r="AO549">
        <v>7.5179999999999998</v>
      </c>
      <c r="AP549">
        <v>39.853000000000002</v>
      </c>
      <c r="AQ549">
        <v>25.6</v>
      </c>
      <c r="AR549">
        <v>1.88</v>
      </c>
      <c r="AS549">
        <v>36.024999999999999</v>
      </c>
      <c r="AT549">
        <v>102.6</v>
      </c>
      <c r="AY549">
        <v>2.36</v>
      </c>
      <c r="AZ549" t="s">
        <v>185</v>
      </c>
      <c r="BB549" t="s">
        <v>185</v>
      </c>
      <c r="BD549" t="s">
        <v>68</v>
      </c>
      <c r="BE549" t="s">
        <v>2361</v>
      </c>
      <c r="BF549" t="s">
        <v>2362</v>
      </c>
      <c r="BG549" t="s">
        <v>2363</v>
      </c>
      <c r="BH549">
        <v>0</v>
      </c>
      <c r="BI549">
        <v>0</v>
      </c>
      <c r="BJ549">
        <v>2</v>
      </c>
      <c r="BK549" t="s">
        <v>2364</v>
      </c>
      <c r="BL549">
        <v>8.8620000000000001</v>
      </c>
      <c r="BM549">
        <v>9.0256000000000007</v>
      </c>
      <c r="BN549" t="s">
        <v>1211</v>
      </c>
      <c r="BO549" s="1">
        <v>0.45709490740740738</v>
      </c>
      <c r="BP549" s="3">
        <f t="shared" si="52"/>
        <v>1.0070501964503453</v>
      </c>
      <c r="BQ549" s="3">
        <f t="shared" si="53"/>
        <v>1.0031832764357917</v>
      </c>
    </row>
    <row r="550" spans="1:69" hidden="1" x14ac:dyDescent="0.35">
      <c r="A550">
        <v>548</v>
      </c>
      <c r="B550">
        <v>3763</v>
      </c>
      <c r="D550">
        <v>5</v>
      </c>
      <c r="E550">
        <v>6</v>
      </c>
      <c r="G550">
        <v>16335</v>
      </c>
      <c r="I550" t="s">
        <v>62</v>
      </c>
      <c r="L550" t="s">
        <v>2285</v>
      </c>
      <c r="M550">
        <v>9.31</v>
      </c>
      <c r="N550">
        <v>38.299999999999997</v>
      </c>
      <c r="O550">
        <v>8.8000000000000007</v>
      </c>
      <c r="P550" s="3">
        <f t="shared" si="48"/>
        <v>0.94522019334049412</v>
      </c>
      <c r="Q550">
        <v>31.3</v>
      </c>
      <c r="R550" s="3">
        <f t="shared" si="49"/>
        <v>0.81723237597911236</v>
      </c>
      <c r="S550">
        <v>275</v>
      </c>
      <c r="T550">
        <v>9.3569999999999993</v>
      </c>
      <c r="U550">
        <v>38.619999999999997</v>
      </c>
      <c r="V550">
        <v>8.9359999999999999</v>
      </c>
      <c r="W550" s="3">
        <f t="shared" si="50"/>
        <v>0.95500694667094166</v>
      </c>
      <c r="X550">
        <v>31.84</v>
      </c>
      <c r="Y550" s="3">
        <f t="shared" si="51"/>
        <v>0.82444329363024349</v>
      </c>
      <c r="Z550">
        <v>284.5</v>
      </c>
      <c r="AA550">
        <v>78.7</v>
      </c>
      <c r="AB550">
        <v>24.6</v>
      </c>
      <c r="AC550" t="s">
        <v>64</v>
      </c>
      <c r="AE550" t="s">
        <v>65</v>
      </c>
      <c r="AF550" t="s">
        <v>66</v>
      </c>
      <c r="AG550" t="s">
        <v>711</v>
      </c>
      <c r="AH550" s="1">
        <v>0.59504629629629635</v>
      </c>
      <c r="AI550" t="s">
        <v>68</v>
      </c>
      <c r="AJ550" t="s">
        <v>69</v>
      </c>
      <c r="AO550">
        <v>7.4980000000000002</v>
      </c>
      <c r="AP550">
        <v>39.703000000000003</v>
      </c>
      <c r="AQ550">
        <v>25.6</v>
      </c>
      <c r="AR550">
        <v>1.87</v>
      </c>
      <c r="AS550">
        <v>35.950000000000003</v>
      </c>
      <c r="AT550">
        <v>102.6</v>
      </c>
      <c r="AY550">
        <v>2.36</v>
      </c>
      <c r="AZ550" t="s">
        <v>2286</v>
      </c>
      <c r="BB550" t="s">
        <v>2286</v>
      </c>
      <c r="BD550" t="s">
        <v>68</v>
      </c>
      <c r="BE550" t="s">
        <v>2365</v>
      </c>
      <c r="BF550" t="s">
        <v>2366</v>
      </c>
      <c r="BG550" t="s">
        <v>2367</v>
      </c>
      <c r="BH550">
        <v>0</v>
      </c>
      <c r="BI550">
        <v>1</v>
      </c>
      <c r="BJ550">
        <v>2</v>
      </c>
      <c r="BK550" t="s">
        <v>2368</v>
      </c>
      <c r="BL550">
        <v>8.8620000000000001</v>
      </c>
      <c r="BM550">
        <v>9.0256000000000007</v>
      </c>
      <c r="BN550" s="2">
        <v>42774</v>
      </c>
      <c r="BO550" s="1">
        <v>0.36759259259259258</v>
      </c>
      <c r="BP550" s="3">
        <f t="shared" si="52"/>
        <v>1.0103539401711894</v>
      </c>
      <c r="BQ550" s="3">
        <f t="shared" si="53"/>
        <v>1.0088235829405214</v>
      </c>
    </row>
    <row r="551" spans="1:69" hidden="1" x14ac:dyDescent="0.35">
      <c r="A551">
        <v>549</v>
      </c>
      <c r="B551">
        <v>3763</v>
      </c>
      <c r="D551">
        <v>5</v>
      </c>
      <c r="E551">
        <v>6</v>
      </c>
      <c r="G551">
        <v>16335</v>
      </c>
      <c r="I551" t="s">
        <v>62</v>
      </c>
      <c r="L551" t="s">
        <v>1184</v>
      </c>
      <c r="M551">
        <v>9.31</v>
      </c>
      <c r="N551">
        <v>38.299999999999997</v>
      </c>
      <c r="O551">
        <v>8.8000000000000007</v>
      </c>
      <c r="P551" s="3">
        <f t="shared" si="48"/>
        <v>0.94522019334049412</v>
      </c>
      <c r="Q551">
        <v>31.3</v>
      </c>
      <c r="R551" s="3">
        <f t="shared" si="49"/>
        <v>0.81723237597911236</v>
      </c>
      <c r="S551">
        <v>275</v>
      </c>
      <c r="T551">
        <v>9.3610000000000007</v>
      </c>
      <c r="U551">
        <v>38.6</v>
      </c>
      <c r="V551">
        <v>8.9410000000000007</v>
      </c>
      <c r="W551" s="3">
        <f t="shared" si="50"/>
        <v>0.95513299861125944</v>
      </c>
      <c r="X551">
        <v>31.83</v>
      </c>
      <c r="Y551" s="3">
        <f t="shared" si="51"/>
        <v>0.82461139896373048</v>
      </c>
      <c r="Z551">
        <v>284.60000000000002</v>
      </c>
      <c r="AA551">
        <v>78.8</v>
      </c>
      <c r="AB551">
        <v>24.8</v>
      </c>
      <c r="AC551" t="s">
        <v>64</v>
      </c>
      <c r="AE551" t="s">
        <v>65</v>
      </c>
      <c r="AF551" t="s">
        <v>66</v>
      </c>
      <c r="AG551" t="s">
        <v>1105</v>
      </c>
      <c r="AH551" s="1">
        <v>0.38424768518518521</v>
      </c>
      <c r="AI551" t="s">
        <v>68</v>
      </c>
      <c r="AJ551" t="s">
        <v>69</v>
      </c>
      <c r="AO551">
        <v>7.508</v>
      </c>
      <c r="AP551">
        <v>39.965000000000003</v>
      </c>
      <c r="AQ551">
        <v>25.6</v>
      </c>
      <c r="AR551">
        <v>1.875</v>
      </c>
      <c r="AS551">
        <v>36.25</v>
      </c>
      <c r="AT551">
        <v>102.6</v>
      </c>
      <c r="AY551">
        <v>2.36</v>
      </c>
      <c r="AZ551" t="s">
        <v>185</v>
      </c>
      <c r="BB551" t="s">
        <v>185</v>
      </c>
      <c r="BD551" t="s">
        <v>68</v>
      </c>
      <c r="BE551" t="s">
        <v>2369</v>
      </c>
      <c r="BF551" t="s">
        <v>2370</v>
      </c>
      <c r="BG551" t="s">
        <v>2371</v>
      </c>
      <c r="BH551">
        <v>0</v>
      </c>
      <c r="BI551">
        <v>0</v>
      </c>
      <c r="BJ551">
        <v>2</v>
      </c>
      <c r="BK551" t="s">
        <v>2372</v>
      </c>
      <c r="BL551">
        <v>8.8620000000000001</v>
      </c>
      <c r="BM551">
        <v>9.0256000000000007</v>
      </c>
      <c r="BN551" s="2">
        <v>42774</v>
      </c>
      <c r="BO551" s="1">
        <v>0.36759259259259258</v>
      </c>
      <c r="BP551" s="3">
        <f t="shared" si="52"/>
        <v>1.0104872973944119</v>
      </c>
      <c r="BQ551" s="3">
        <f t="shared" si="53"/>
        <v>1.0090292837160024</v>
      </c>
    </row>
    <row r="552" spans="1:69" hidden="1" x14ac:dyDescent="0.35">
      <c r="A552">
        <v>550</v>
      </c>
      <c r="B552">
        <v>3652</v>
      </c>
      <c r="D552">
        <v>5</v>
      </c>
      <c r="E552">
        <v>6</v>
      </c>
      <c r="G552">
        <v>16335</v>
      </c>
      <c r="I552" t="s">
        <v>62</v>
      </c>
      <c r="L552" t="s">
        <v>2220</v>
      </c>
      <c r="M552">
        <v>9.31</v>
      </c>
      <c r="N552">
        <v>38.299999999999997</v>
      </c>
      <c r="O552">
        <v>8.8000000000000007</v>
      </c>
      <c r="P552" s="3">
        <f t="shared" si="48"/>
        <v>0.94522019334049412</v>
      </c>
      <c r="Q552">
        <v>31.3</v>
      </c>
      <c r="R552" s="3">
        <f t="shared" si="49"/>
        <v>0.81723237597911236</v>
      </c>
      <c r="S552">
        <v>275</v>
      </c>
      <c r="T552">
        <v>9.4019999999999992</v>
      </c>
      <c r="U552">
        <v>38.51</v>
      </c>
      <c r="V552">
        <v>8.9550000000000001</v>
      </c>
      <c r="W552" s="3">
        <f t="shared" si="50"/>
        <v>0.95245692405871096</v>
      </c>
      <c r="X552">
        <v>31.6</v>
      </c>
      <c r="Y552" s="3">
        <f t="shared" si="51"/>
        <v>0.8205660867307194</v>
      </c>
      <c r="Z552">
        <v>283</v>
      </c>
      <c r="AA552">
        <v>78.2</v>
      </c>
      <c r="AB552">
        <v>24.9</v>
      </c>
      <c r="AC552" t="s">
        <v>64</v>
      </c>
      <c r="AE552" t="s">
        <v>65</v>
      </c>
      <c r="AF552" t="s">
        <v>66</v>
      </c>
      <c r="AG552" t="s">
        <v>711</v>
      </c>
      <c r="AH552" s="1">
        <v>0.59030092592592598</v>
      </c>
      <c r="AI552" t="s">
        <v>68</v>
      </c>
      <c r="AJ552" t="s">
        <v>69</v>
      </c>
      <c r="AO552">
        <v>7.4980000000000002</v>
      </c>
      <c r="AP552">
        <v>39.664999999999999</v>
      </c>
      <c r="AQ552">
        <v>25.6</v>
      </c>
      <c r="AR552">
        <v>1.875</v>
      </c>
      <c r="AS552">
        <v>35.837000000000003</v>
      </c>
      <c r="AT552">
        <v>102.6</v>
      </c>
      <c r="AY552">
        <v>2.36</v>
      </c>
      <c r="AZ552" t="s">
        <v>2286</v>
      </c>
      <c r="BB552" t="s">
        <v>2286</v>
      </c>
      <c r="BD552" t="s">
        <v>68</v>
      </c>
      <c r="BE552" t="s">
        <v>2373</v>
      </c>
      <c r="BF552" t="s">
        <v>2374</v>
      </c>
      <c r="BG552" t="s">
        <v>2375</v>
      </c>
      <c r="BH552">
        <v>0</v>
      </c>
      <c r="BI552">
        <v>1</v>
      </c>
      <c r="BJ552">
        <v>2</v>
      </c>
      <c r="BK552" t="s">
        <v>2376</v>
      </c>
      <c r="BL552">
        <v>8.8620000000000001</v>
      </c>
      <c r="BM552">
        <v>9.0256000000000007</v>
      </c>
      <c r="BN552" t="s">
        <v>1211</v>
      </c>
      <c r="BO552" s="1">
        <v>0.47315972222222225</v>
      </c>
      <c r="BP552" s="3">
        <f t="shared" si="52"/>
        <v>1.0076561321575681</v>
      </c>
      <c r="BQ552" s="3">
        <f t="shared" si="53"/>
        <v>1.0040792690666629</v>
      </c>
    </row>
    <row r="553" spans="1:69" hidden="1" x14ac:dyDescent="0.35">
      <c r="A553">
        <v>551</v>
      </c>
      <c r="B553">
        <v>3652</v>
      </c>
      <c r="D553">
        <v>5</v>
      </c>
      <c r="E553">
        <v>6</v>
      </c>
      <c r="G553">
        <v>16335</v>
      </c>
      <c r="I553" t="s">
        <v>62</v>
      </c>
      <c r="L553" t="s">
        <v>1235</v>
      </c>
      <c r="M553">
        <v>9.31</v>
      </c>
      <c r="N553">
        <v>38.299999999999997</v>
      </c>
      <c r="O553">
        <v>8.8000000000000007</v>
      </c>
      <c r="P553" s="3">
        <f t="shared" si="48"/>
        <v>0.94522019334049412</v>
      </c>
      <c r="Q553">
        <v>31.3</v>
      </c>
      <c r="R553" s="3">
        <f t="shared" si="49"/>
        <v>0.81723237597911236</v>
      </c>
      <c r="S553">
        <v>275</v>
      </c>
      <c r="T553">
        <v>9.4130000000000003</v>
      </c>
      <c r="U553">
        <v>38.53</v>
      </c>
      <c r="V553">
        <v>8.9619999999999997</v>
      </c>
      <c r="W553" s="3">
        <f t="shared" si="50"/>
        <v>0.95208753851057049</v>
      </c>
      <c r="X553">
        <v>31.63</v>
      </c>
      <c r="Y553" s="3">
        <f t="shared" si="51"/>
        <v>0.8209187645990137</v>
      </c>
      <c r="Z553">
        <v>283.5</v>
      </c>
      <c r="AA553">
        <v>78.2</v>
      </c>
      <c r="AB553">
        <v>24.9</v>
      </c>
      <c r="AC553" t="s">
        <v>64</v>
      </c>
      <c r="AE553" t="s">
        <v>65</v>
      </c>
      <c r="AF553" t="s">
        <v>66</v>
      </c>
      <c r="AG553" t="s">
        <v>1105</v>
      </c>
      <c r="AH553" s="1">
        <v>0.38917824074074076</v>
      </c>
      <c r="AI553" t="s">
        <v>68</v>
      </c>
      <c r="AJ553" t="s">
        <v>69</v>
      </c>
      <c r="AO553">
        <v>7.508</v>
      </c>
      <c r="AP553">
        <v>39.064999999999998</v>
      </c>
      <c r="AQ553">
        <v>25.6</v>
      </c>
      <c r="AR553">
        <v>1.88</v>
      </c>
      <c r="AS553">
        <v>35.612000000000002</v>
      </c>
      <c r="AT553">
        <v>102.6</v>
      </c>
      <c r="AY553">
        <v>2.36</v>
      </c>
      <c r="AZ553" t="s">
        <v>185</v>
      </c>
      <c r="BB553" t="s">
        <v>185</v>
      </c>
      <c r="BD553" t="s">
        <v>68</v>
      </c>
      <c r="BE553" t="s">
        <v>2377</v>
      </c>
      <c r="BF553" t="s">
        <v>2378</v>
      </c>
      <c r="BG553" t="s">
        <v>2379</v>
      </c>
      <c r="BH553">
        <v>0</v>
      </c>
      <c r="BI553">
        <v>0</v>
      </c>
      <c r="BJ553">
        <v>2</v>
      </c>
      <c r="BK553" t="s">
        <v>2380</v>
      </c>
      <c r="BL553">
        <v>8.8620000000000001</v>
      </c>
      <c r="BM553">
        <v>9.0256000000000007</v>
      </c>
      <c r="BN553" t="s">
        <v>1211</v>
      </c>
      <c r="BO553" s="1">
        <v>0.47315972222222225</v>
      </c>
      <c r="BP553" s="3">
        <f t="shared" si="52"/>
        <v>1.0072653390378876</v>
      </c>
      <c r="BQ553" s="3">
        <f t="shared" si="53"/>
        <v>1.0045108205796236</v>
      </c>
    </row>
    <row r="554" spans="1:69" hidden="1" x14ac:dyDescent="0.35">
      <c r="A554">
        <v>552</v>
      </c>
      <c r="B554">
        <v>3759</v>
      </c>
      <c r="D554">
        <v>5</v>
      </c>
      <c r="E554">
        <v>6</v>
      </c>
      <c r="G554">
        <v>16335</v>
      </c>
      <c r="I554" t="s">
        <v>62</v>
      </c>
      <c r="L554" t="s">
        <v>2285</v>
      </c>
      <c r="M554">
        <v>9.31</v>
      </c>
      <c r="N554">
        <v>38.299999999999997</v>
      </c>
      <c r="O554">
        <v>8.8000000000000007</v>
      </c>
      <c r="P554" s="3">
        <f t="shared" si="48"/>
        <v>0.94522019334049412</v>
      </c>
      <c r="Q554">
        <v>31.3</v>
      </c>
      <c r="R554" s="3">
        <f t="shared" si="49"/>
        <v>0.81723237597911236</v>
      </c>
      <c r="S554">
        <v>275</v>
      </c>
      <c r="T554">
        <v>9.3520000000000003</v>
      </c>
      <c r="U554">
        <v>38.619999999999997</v>
      </c>
      <c r="V554">
        <v>8.9260000000000002</v>
      </c>
      <c r="W554" s="3">
        <f t="shared" si="50"/>
        <v>0.95444824636441405</v>
      </c>
      <c r="X554">
        <v>31.79</v>
      </c>
      <c r="Y554" s="3">
        <f t="shared" si="51"/>
        <v>0.82314862765406527</v>
      </c>
      <c r="Z554">
        <v>283.7</v>
      </c>
      <c r="AA554">
        <v>78.599999999999994</v>
      </c>
      <c r="AB554">
        <v>24.7</v>
      </c>
      <c r="AC554" t="s">
        <v>64</v>
      </c>
      <c r="AE554" t="s">
        <v>65</v>
      </c>
      <c r="AF554" t="s">
        <v>66</v>
      </c>
      <c r="AG554" t="s">
        <v>711</v>
      </c>
      <c r="AH554" s="1">
        <v>0.59623842592592591</v>
      </c>
      <c r="AI554" t="s">
        <v>68</v>
      </c>
      <c r="AJ554" t="s">
        <v>69</v>
      </c>
      <c r="AO554">
        <v>7.4930000000000003</v>
      </c>
      <c r="AP554">
        <v>39.628</v>
      </c>
      <c r="AQ554">
        <v>25.6</v>
      </c>
      <c r="AR554">
        <v>1.87</v>
      </c>
      <c r="AS554">
        <v>35.874000000000002</v>
      </c>
      <c r="AT554">
        <v>102.6</v>
      </c>
      <c r="AY554">
        <v>2.36</v>
      </c>
      <c r="AZ554" t="s">
        <v>2286</v>
      </c>
      <c r="BB554" t="s">
        <v>2286</v>
      </c>
      <c r="BD554" t="s">
        <v>68</v>
      </c>
      <c r="BE554" t="s">
        <v>2381</v>
      </c>
      <c r="BF554" t="s">
        <v>2382</v>
      </c>
      <c r="BG554" t="s">
        <v>2383</v>
      </c>
      <c r="BH554">
        <v>0</v>
      </c>
      <c r="BI554">
        <v>1</v>
      </c>
      <c r="BJ554">
        <v>2</v>
      </c>
      <c r="BK554" t="s">
        <v>2384</v>
      </c>
      <c r="BL554">
        <v>8.8620000000000001</v>
      </c>
      <c r="BM554">
        <v>9.0256000000000007</v>
      </c>
      <c r="BN554" s="2">
        <v>42774</v>
      </c>
      <c r="BO554" s="1">
        <v>0.37839120370370372</v>
      </c>
      <c r="BP554" s="3">
        <f t="shared" si="52"/>
        <v>1.0097628606423517</v>
      </c>
      <c r="BQ554" s="3">
        <f t="shared" si="53"/>
        <v>1.007239375052738</v>
      </c>
    </row>
    <row r="555" spans="1:69" hidden="1" x14ac:dyDescent="0.35">
      <c r="A555">
        <v>553</v>
      </c>
      <c r="B555">
        <v>3759</v>
      </c>
      <c r="D555">
        <v>5</v>
      </c>
      <c r="E555">
        <v>6</v>
      </c>
      <c r="G555">
        <v>16335</v>
      </c>
      <c r="I555" t="s">
        <v>62</v>
      </c>
      <c r="L555" t="s">
        <v>1184</v>
      </c>
      <c r="M555">
        <v>9.31</v>
      </c>
      <c r="N555">
        <v>38.299999999999997</v>
      </c>
      <c r="O555">
        <v>8.8000000000000007</v>
      </c>
      <c r="P555" s="3">
        <f t="shared" si="48"/>
        <v>0.94522019334049412</v>
      </c>
      <c r="Q555">
        <v>31.3</v>
      </c>
      <c r="R555" s="3">
        <f t="shared" si="49"/>
        <v>0.81723237597911236</v>
      </c>
      <c r="S555">
        <v>275</v>
      </c>
      <c r="T555">
        <v>9.36</v>
      </c>
      <c r="U555">
        <v>38.590000000000003</v>
      </c>
      <c r="V555">
        <v>8.9309999999999992</v>
      </c>
      <c r="W555" s="3">
        <f t="shared" si="50"/>
        <v>0.95416666666666661</v>
      </c>
      <c r="X555">
        <v>31.79</v>
      </c>
      <c r="Y555" s="3">
        <f t="shared" si="51"/>
        <v>0.82378854625550646</v>
      </c>
      <c r="Z555">
        <v>284</v>
      </c>
      <c r="AA555">
        <v>78.599999999999994</v>
      </c>
      <c r="AB555">
        <v>24.8</v>
      </c>
      <c r="AC555" t="s">
        <v>64</v>
      </c>
      <c r="AE555" t="s">
        <v>65</v>
      </c>
      <c r="AF555" t="s">
        <v>66</v>
      </c>
      <c r="AG555" t="s">
        <v>1105</v>
      </c>
      <c r="AH555" s="1">
        <v>0.38681712962962961</v>
      </c>
      <c r="AI555" t="s">
        <v>68</v>
      </c>
      <c r="AJ555" t="s">
        <v>69</v>
      </c>
      <c r="AO555">
        <v>7.508</v>
      </c>
      <c r="AP555">
        <v>39.74</v>
      </c>
      <c r="AQ555">
        <v>25.6</v>
      </c>
      <c r="AR555">
        <v>1.88</v>
      </c>
      <c r="AS555">
        <v>36.1</v>
      </c>
      <c r="AT555">
        <v>102.6</v>
      </c>
      <c r="AY555">
        <v>2.36</v>
      </c>
      <c r="AZ555" t="s">
        <v>185</v>
      </c>
      <c r="BB555" t="s">
        <v>185</v>
      </c>
      <c r="BD555" t="s">
        <v>68</v>
      </c>
      <c r="BE555" t="s">
        <v>2385</v>
      </c>
      <c r="BF555" t="s">
        <v>2386</v>
      </c>
      <c r="BG555" t="s">
        <v>2387</v>
      </c>
      <c r="BH555">
        <v>0</v>
      </c>
      <c r="BI555">
        <v>0</v>
      </c>
      <c r="BJ555">
        <v>2</v>
      </c>
      <c r="BK555" t="s">
        <v>2388</v>
      </c>
      <c r="BL555">
        <v>8.8620000000000001</v>
      </c>
      <c r="BM555">
        <v>9.0256000000000007</v>
      </c>
      <c r="BN555" s="2">
        <v>42774</v>
      </c>
      <c r="BO555" s="1">
        <v>0.37839120370370372</v>
      </c>
      <c r="BP555" s="3">
        <f t="shared" si="52"/>
        <v>1.009464962121212</v>
      </c>
      <c r="BQ555" s="3">
        <f t="shared" si="53"/>
        <v>1.0080224064404439</v>
      </c>
    </row>
    <row r="556" spans="1:69" hidden="1" x14ac:dyDescent="0.35">
      <c r="A556">
        <v>554</v>
      </c>
      <c r="B556">
        <v>3779</v>
      </c>
      <c r="D556">
        <v>5</v>
      </c>
      <c r="E556">
        <v>6</v>
      </c>
      <c r="G556">
        <v>16335</v>
      </c>
      <c r="I556" t="s">
        <v>62</v>
      </c>
      <c r="L556" t="s">
        <v>2285</v>
      </c>
      <c r="M556">
        <v>9.31</v>
      </c>
      <c r="N556">
        <v>38.299999999999997</v>
      </c>
      <c r="O556">
        <v>8.8000000000000007</v>
      </c>
      <c r="P556" s="3">
        <f t="shared" si="48"/>
        <v>0.94522019334049412</v>
      </c>
      <c r="Q556">
        <v>31.3</v>
      </c>
      <c r="R556" s="3">
        <f t="shared" si="49"/>
        <v>0.81723237597911236</v>
      </c>
      <c r="S556">
        <v>275</v>
      </c>
      <c r="T556">
        <v>9.3390000000000004</v>
      </c>
      <c r="U556">
        <v>38.54</v>
      </c>
      <c r="V556">
        <v>8.9139999999999997</v>
      </c>
      <c r="W556" s="3">
        <f t="shared" si="50"/>
        <v>0.95449191562265756</v>
      </c>
      <c r="X556">
        <v>31.78</v>
      </c>
      <c r="Y556" s="3">
        <f t="shared" si="51"/>
        <v>0.8245978204462896</v>
      </c>
      <c r="Z556">
        <v>283.2</v>
      </c>
      <c r="AA556">
        <v>78.7</v>
      </c>
      <c r="AB556">
        <v>24.7</v>
      </c>
      <c r="AC556" t="s">
        <v>64</v>
      </c>
      <c r="AE556" t="s">
        <v>65</v>
      </c>
      <c r="AF556" t="s">
        <v>66</v>
      </c>
      <c r="AG556" t="s">
        <v>711</v>
      </c>
      <c r="AH556" s="1">
        <v>0.59835648148148146</v>
      </c>
      <c r="AI556" t="s">
        <v>68</v>
      </c>
      <c r="AJ556" t="s">
        <v>69</v>
      </c>
      <c r="AO556">
        <v>7.4980000000000002</v>
      </c>
      <c r="AP556">
        <v>39.590000000000003</v>
      </c>
      <c r="AQ556">
        <v>25.6</v>
      </c>
      <c r="AR556">
        <v>1.87</v>
      </c>
      <c r="AS556">
        <v>35.874000000000002</v>
      </c>
      <c r="AT556">
        <v>102.6</v>
      </c>
      <c r="AY556">
        <v>2.36</v>
      </c>
      <c r="AZ556" t="s">
        <v>2286</v>
      </c>
      <c r="BB556" t="s">
        <v>2286</v>
      </c>
      <c r="BD556" t="s">
        <v>68</v>
      </c>
      <c r="BE556" t="s">
        <v>2389</v>
      </c>
      <c r="BF556" t="s">
        <v>2390</v>
      </c>
      <c r="BG556" t="s">
        <v>2391</v>
      </c>
      <c r="BH556">
        <v>0</v>
      </c>
      <c r="BI556">
        <v>1</v>
      </c>
      <c r="BJ556">
        <v>2</v>
      </c>
      <c r="BK556" t="s">
        <v>2392</v>
      </c>
      <c r="BL556">
        <v>8.8620000000000001</v>
      </c>
      <c r="BM556">
        <v>9.0256000000000007</v>
      </c>
      <c r="BN556" s="2">
        <v>42774</v>
      </c>
      <c r="BO556" s="1">
        <v>0.32608796296296294</v>
      </c>
      <c r="BP556" s="3">
        <f t="shared" si="52"/>
        <v>1.0098090607326069</v>
      </c>
      <c r="BQ556" s="3">
        <f t="shared" si="53"/>
        <v>1.0090126684694214</v>
      </c>
    </row>
    <row r="557" spans="1:69" hidden="1" x14ac:dyDescent="0.35">
      <c r="A557">
        <v>555</v>
      </c>
      <c r="B557">
        <v>3779</v>
      </c>
      <c r="D557">
        <v>5</v>
      </c>
      <c r="E557">
        <v>6</v>
      </c>
      <c r="G557">
        <v>16335</v>
      </c>
      <c r="I557" t="s">
        <v>62</v>
      </c>
      <c r="L557" t="s">
        <v>1184</v>
      </c>
      <c r="M557">
        <v>9.31</v>
      </c>
      <c r="N557">
        <v>38.299999999999997</v>
      </c>
      <c r="O557">
        <v>8.8000000000000007</v>
      </c>
      <c r="P557" s="3">
        <f t="shared" si="48"/>
        <v>0.94522019334049412</v>
      </c>
      <c r="Q557">
        <v>31.3</v>
      </c>
      <c r="R557" s="3">
        <f t="shared" si="49"/>
        <v>0.81723237597911236</v>
      </c>
      <c r="S557">
        <v>275</v>
      </c>
      <c r="T557">
        <v>9.3450000000000006</v>
      </c>
      <c r="U557">
        <v>38.520000000000003</v>
      </c>
      <c r="V557">
        <v>8.9120000000000008</v>
      </c>
      <c r="W557" s="3">
        <f t="shared" si="50"/>
        <v>0.95366506153023012</v>
      </c>
      <c r="X557">
        <v>31.78</v>
      </c>
      <c r="Y557" s="3">
        <f t="shared" si="51"/>
        <v>0.82502596053997923</v>
      </c>
      <c r="Z557">
        <v>283.2</v>
      </c>
      <c r="AA557">
        <v>78.7</v>
      </c>
      <c r="AB557">
        <v>24.9</v>
      </c>
      <c r="AC557" t="s">
        <v>64</v>
      </c>
      <c r="AE557" t="s">
        <v>65</v>
      </c>
      <c r="AF557" t="s">
        <v>66</v>
      </c>
      <c r="AG557" t="s">
        <v>1105</v>
      </c>
      <c r="AH557" s="1">
        <v>0.38800925925925928</v>
      </c>
      <c r="AI557" t="s">
        <v>68</v>
      </c>
      <c r="AJ557" t="s">
        <v>69</v>
      </c>
      <c r="AO557">
        <v>7.508</v>
      </c>
      <c r="AP557">
        <v>39.74</v>
      </c>
      <c r="AQ557">
        <v>25.6</v>
      </c>
      <c r="AR557">
        <v>1.885</v>
      </c>
      <c r="AS557">
        <v>36.1</v>
      </c>
      <c r="AT557">
        <v>102.6</v>
      </c>
      <c r="AY557">
        <v>2.36</v>
      </c>
      <c r="AZ557" t="s">
        <v>185</v>
      </c>
      <c r="BB557" t="s">
        <v>185</v>
      </c>
      <c r="BD557" t="s">
        <v>68</v>
      </c>
      <c r="BE557" t="s">
        <v>2393</v>
      </c>
      <c r="BF557" t="s">
        <v>2394</v>
      </c>
      <c r="BG557" t="s">
        <v>2395</v>
      </c>
      <c r="BH557">
        <v>0</v>
      </c>
      <c r="BI557">
        <v>0</v>
      </c>
      <c r="BJ557">
        <v>2</v>
      </c>
      <c r="BK557" t="s">
        <v>2396</v>
      </c>
      <c r="BL557">
        <v>8.8620000000000001</v>
      </c>
      <c r="BM557">
        <v>9.0256000000000007</v>
      </c>
      <c r="BN557" s="2">
        <v>42774</v>
      </c>
      <c r="BO557" s="1">
        <v>0.32608796296296294</v>
      </c>
      <c r="BP557" s="3">
        <f t="shared" si="52"/>
        <v>1.0089342866870956</v>
      </c>
      <c r="BQ557" s="3">
        <f t="shared" si="53"/>
        <v>1.0095365587438083</v>
      </c>
    </row>
    <row r="558" spans="1:69" hidden="1" x14ac:dyDescent="0.35">
      <c r="A558">
        <v>556</v>
      </c>
      <c r="B558">
        <v>3647</v>
      </c>
      <c r="D558">
        <v>5</v>
      </c>
      <c r="E558">
        <v>6</v>
      </c>
      <c r="G558">
        <v>16335</v>
      </c>
      <c r="I558" t="s">
        <v>62</v>
      </c>
      <c r="L558" t="s">
        <v>2220</v>
      </c>
      <c r="M558">
        <v>9.31</v>
      </c>
      <c r="N558">
        <v>38.299999999999997</v>
      </c>
      <c r="O558">
        <v>8.8000000000000007</v>
      </c>
      <c r="P558" s="3">
        <f t="shared" si="48"/>
        <v>0.94522019334049412</v>
      </c>
      <c r="Q558">
        <v>31.3</v>
      </c>
      <c r="R558" s="3">
        <f t="shared" si="49"/>
        <v>0.81723237597911236</v>
      </c>
      <c r="S558">
        <v>275</v>
      </c>
      <c r="T558">
        <v>9.3640000000000008</v>
      </c>
      <c r="U558">
        <v>38.47</v>
      </c>
      <c r="V558">
        <v>8.9269999999999996</v>
      </c>
      <c r="W558" s="3">
        <f t="shared" si="50"/>
        <v>0.95333190944040991</v>
      </c>
      <c r="X558">
        <v>31.51</v>
      </c>
      <c r="Y558" s="3">
        <f t="shared" si="51"/>
        <v>0.81907980244346246</v>
      </c>
      <c r="Z558">
        <v>281.3</v>
      </c>
      <c r="AA558">
        <v>78.099999999999994</v>
      </c>
      <c r="AB558">
        <v>24.8</v>
      </c>
      <c r="AC558" t="s">
        <v>64</v>
      </c>
      <c r="AE558" t="s">
        <v>65</v>
      </c>
      <c r="AF558" t="s">
        <v>66</v>
      </c>
      <c r="AG558" t="s">
        <v>711</v>
      </c>
      <c r="AH558" s="1">
        <v>0.60829861111111116</v>
      </c>
      <c r="AI558" t="s">
        <v>68</v>
      </c>
      <c r="AJ558" t="s">
        <v>69</v>
      </c>
      <c r="AO558">
        <v>7.508</v>
      </c>
      <c r="AP558">
        <v>39.703000000000003</v>
      </c>
      <c r="AQ558">
        <v>25.6</v>
      </c>
      <c r="AR558">
        <v>1.87</v>
      </c>
      <c r="AS558">
        <v>35.723999999999997</v>
      </c>
      <c r="AT558">
        <v>102.6</v>
      </c>
      <c r="AY558">
        <v>2.36</v>
      </c>
      <c r="AZ558" t="s">
        <v>2286</v>
      </c>
      <c r="BB558" t="s">
        <v>2286</v>
      </c>
      <c r="BD558" t="s">
        <v>68</v>
      </c>
      <c r="BE558" t="s">
        <v>2397</v>
      </c>
      <c r="BF558" t="s">
        <v>2398</v>
      </c>
      <c r="BG558" t="s">
        <v>2399</v>
      </c>
      <c r="BH558">
        <v>0</v>
      </c>
      <c r="BI558">
        <v>1</v>
      </c>
      <c r="BJ558">
        <v>2</v>
      </c>
      <c r="BK558" t="s">
        <v>2400</v>
      </c>
      <c r="BL558">
        <v>8.8620000000000001</v>
      </c>
      <c r="BM558">
        <v>9.0256000000000007</v>
      </c>
      <c r="BN558" t="s">
        <v>1211</v>
      </c>
      <c r="BO558" s="1">
        <v>0.4820949074074074</v>
      </c>
      <c r="BP558" s="3">
        <f t="shared" si="52"/>
        <v>1.0085818269193427</v>
      </c>
      <c r="BQ558" s="3">
        <f t="shared" si="53"/>
        <v>1.0022605889324157</v>
      </c>
    </row>
    <row r="559" spans="1:69" hidden="1" x14ac:dyDescent="0.35">
      <c r="A559">
        <v>557</v>
      </c>
      <c r="B559">
        <v>3647</v>
      </c>
      <c r="D559">
        <v>5</v>
      </c>
      <c r="E559">
        <v>6</v>
      </c>
      <c r="G559">
        <v>16335</v>
      </c>
      <c r="I559" t="s">
        <v>62</v>
      </c>
      <c r="L559" t="s">
        <v>1235</v>
      </c>
      <c r="M559">
        <v>9.31</v>
      </c>
      <c r="N559">
        <v>38.299999999999997</v>
      </c>
      <c r="O559">
        <v>8.8000000000000007</v>
      </c>
      <c r="P559" s="3">
        <f t="shared" si="48"/>
        <v>0.94522019334049412</v>
      </c>
      <c r="Q559">
        <v>31.3</v>
      </c>
      <c r="R559" s="3">
        <f t="shared" si="49"/>
        <v>0.81723237597911236</v>
      </c>
      <c r="S559">
        <v>275</v>
      </c>
      <c r="T559">
        <v>9.3859999999999992</v>
      </c>
      <c r="U559">
        <v>38.479999999999997</v>
      </c>
      <c r="V559">
        <v>8.9380000000000006</v>
      </c>
      <c r="W559" s="3">
        <f t="shared" si="50"/>
        <v>0.9522693373108887</v>
      </c>
      <c r="X559">
        <v>31.54</v>
      </c>
      <c r="Y559" s="3">
        <f t="shared" si="51"/>
        <v>0.81964656964656968</v>
      </c>
      <c r="Z559">
        <v>281.89999999999998</v>
      </c>
      <c r="AA559">
        <v>78</v>
      </c>
      <c r="AB559">
        <v>24.9</v>
      </c>
      <c r="AC559" t="s">
        <v>64</v>
      </c>
      <c r="AE559" t="s">
        <v>65</v>
      </c>
      <c r="AF559" t="s">
        <v>66</v>
      </c>
      <c r="AG559" t="s">
        <v>1105</v>
      </c>
      <c r="AH559" s="1">
        <v>0.39133101851851854</v>
      </c>
      <c r="AI559" t="s">
        <v>68</v>
      </c>
      <c r="AJ559" t="s">
        <v>69</v>
      </c>
      <c r="AO559">
        <v>7.5030000000000001</v>
      </c>
      <c r="AP559">
        <v>39.978000000000002</v>
      </c>
      <c r="AQ559">
        <v>25.6</v>
      </c>
      <c r="AR559">
        <v>1.88</v>
      </c>
      <c r="AS559">
        <v>35.911999999999999</v>
      </c>
      <c r="AT559">
        <v>102.6</v>
      </c>
      <c r="AY559">
        <v>2.36</v>
      </c>
      <c r="AZ559" t="s">
        <v>185</v>
      </c>
      <c r="BB559" t="s">
        <v>185</v>
      </c>
      <c r="BD559" t="s">
        <v>68</v>
      </c>
      <c r="BE559" t="s">
        <v>2401</v>
      </c>
      <c r="BF559" t="s">
        <v>2402</v>
      </c>
      <c r="BG559" t="s">
        <v>2403</v>
      </c>
      <c r="BH559">
        <v>0</v>
      </c>
      <c r="BI559">
        <v>0</v>
      </c>
      <c r="BJ559">
        <v>2</v>
      </c>
      <c r="BK559" t="s">
        <v>2404</v>
      </c>
      <c r="BL559">
        <v>8.8620000000000001</v>
      </c>
      <c r="BM559">
        <v>9.0256000000000007</v>
      </c>
      <c r="BN559" t="s">
        <v>1211</v>
      </c>
      <c r="BO559" s="1">
        <v>0.4820949074074074</v>
      </c>
      <c r="BP559" s="3">
        <f t="shared" si="52"/>
        <v>1.0074576739050425</v>
      </c>
      <c r="BQ559" s="3">
        <f t="shared" si="53"/>
        <v>1.002954109184141</v>
      </c>
    </row>
    <row r="560" spans="1:69" hidden="1" x14ac:dyDescent="0.35">
      <c r="A560">
        <v>558</v>
      </c>
      <c r="B560">
        <v>3769</v>
      </c>
      <c r="D560">
        <v>5</v>
      </c>
      <c r="E560">
        <v>6</v>
      </c>
      <c r="G560">
        <v>16335</v>
      </c>
      <c r="I560" t="s">
        <v>62</v>
      </c>
      <c r="L560" t="s">
        <v>2285</v>
      </c>
      <c r="M560">
        <v>9.31</v>
      </c>
      <c r="N560">
        <v>38.299999999999997</v>
      </c>
      <c r="O560">
        <v>8.8000000000000007</v>
      </c>
      <c r="P560" s="3">
        <f t="shared" si="48"/>
        <v>0.94522019334049412</v>
      </c>
      <c r="Q560">
        <v>31.3</v>
      </c>
      <c r="R560" s="3">
        <f t="shared" si="49"/>
        <v>0.81723237597911236</v>
      </c>
      <c r="S560">
        <v>275</v>
      </c>
      <c r="T560">
        <v>9.343</v>
      </c>
      <c r="U560">
        <v>38.590000000000003</v>
      </c>
      <c r="V560">
        <v>8.9410000000000007</v>
      </c>
      <c r="W560" s="3">
        <f t="shared" si="50"/>
        <v>0.95697313496735537</v>
      </c>
      <c r="X560">
        <v>31.83</v>
      </c>
      <c r="Y560" s="3">
        <f t="shared" si="51"/>
        <v>0.82482508421870937</v>
      </c>
      <c r="Z560">
        <v>284.60000000000002</v>
      </c>
      <c r="AA560">
        <v>78.900000000000006</v>
      </c>
      <c r="AB560">
        <v>24.7</v>
      </c>
      <c r="AC560" t="s">
        <v>64</v>
      </c>
      <c r="AE560" t="s">
        <v>65</v>
      </c>
      <c r="AF560" t="s">
        <v>66</v>
      </c>
      <c r="AG560" t="s">
        <v>711</v>
      </c>
      <c r="AH560" s="1">
        <v>0.59226851851851847</v>
      </c>
      <c r="AI560" t="s">
        <v>68</v>
      </c>
      <c r="AJ560" t="s">
        <v>69</v>
      </c>
      <c r="AO560">
        <v>7.4980000000000002</v>
      </c>
      <c r="AP560">
        <v>39.74</v>
      </c>
      <c r="AQ560">
        <v>25.6</v>
      </c>
      <c r="AR560">
        <v>1.875</v>
      </c>
      <c r="AS560">
        <v>35.874000000000002</v>
      </c>
      <c r="AT560">
        <v>102.6</v>
      </c>
      <c r="AY560">
        <v>2.36</v>
      </c>
      <c r="AZ560" t="s">
        <v>2286</v>
      </c>
      <c r="BB560" t="s">
        <v>2286</v>
      </c>
      <c r="BD560" t="s">
        <v>68</v>
      </c>
      <c r="BE560" t="s">
        <v>2405</v>
      </c>
      <c r="BF560" t="s">
        <v>2406</v>
      </c>
      <c r="BG560" t="s">
        <v>2407</v>
      </c>
      <c r="BH560">
        <v>0</v>
      </c>
      <c r="BI560">
        <v>1</v>
      </c>
      <c r="BJ560">
        <v>2</v>
      </c>
      <c r="BK560" t="s">
        <v>2408</v>
      </c>
      <c r="BL560">
        <v>8.8620000000000001</v>
      </c>
      <c r="BM560">
        <v>9.0256000000000007</v>
      </c>
      <c r="BN560" s="2">
        <v>42774</v>
      </c>
      <c r="BO560" s="1">
        <v>0.35151620370370368</v>
      </c>
      <c r="BP560" s="3">
        <f t="shared" si="52"/>
        <v>1.0124340780165999</v>
      </c>
      <c r="BQ560" s="3">
        <f t="shared" si="53"/>
        <v>1.0092907580056412</v>
      </c>
    </row>
    <row r="561" spans="1:69" hidden="1" x14ac:dyDescent="0.35">
      <c r="A561">
        <v>559</v>
      </c>
      <c r="B561">
        <v>3769</v>
      </c>
      <c r="D561">
        <v>5</v>
      </c>
      <c r="E561">
        <v>6</v>
      </c>
      <c r="G561">
        <v>16335</v>
      </c>
      <c r="I561" t="s">
        <v>62</v>
      </c>
      <c r="L561" t="s">
        <v>1184</v>
      </c>
      <c r="M561">
        <v>9.31</v>
      </c>
      <c r="N561">
        <v>38.299999999999997</v>
      </c>
      <c r="O561">
        <v>8.8000000000000007</v>
      </c>
      <c r="P561" s="3">
        <f t="shared" si="48"/>
        <v>0.94522019334049412</v>
      </c>
      <c r="Q561">
        <v>31.3</v>
      </c>
      <c r="R561" s="3">
        <f t="shared" si="49"/>
        <v>0.81723237597911236</v>
      </c>
      <c r="S561">
        <v>275</v>
      </c>
      <c r="T561">
        <v>9.3520000000000003</v>
      </c>
      <c r="U561">
        <v>38.65</v>
      </c>
      <c r="V561">
        <v>8.9440000000000008</v>
      </c>
      <c r="W561" s="3">
        <f t="shared" si="50"/>
        <v>0.95637296834901631</v>
      </c>
      <c r="X561">
        <v>31.91</v>
      </c>
      <c r="Y561" s="3">
        <f t="shared" si="51"/>
        <v>0.82561448900388101</v>
      </c>
      <c r="Z561">
        <v>285.39999999999998</v>
      </c>
      <c r="AA561">
        <v>79</v>
      </c>
      <c r="AB561">
        <v>24.7</v>
      </c>
      <c r="AC561" t="s">
        <v>64</v>
      </c>
      <c r="AE561" t="s">
        <v>65</v>
      </c>
      <c r="AF561" t="s">
        <v>66</v>
      </c>
      <c r="AG561" t="s">
        <v>1105</v>
      </c>
      <c r="AH561" s="1">
        <v>0.38149305555555557</v>
      </c>
      <c r="AI561" t="s">
        <v>68</v>
      </c>
      <c r="AJ561" t="s">
        <v>69</v>
      </c>
      <c r="AO561">
        <v>7.508</v>
      </c>
      <c r="AP561">
        <v>39.965000000000003</v>
      </c>
      <c r="AQ561">
        <v>25.6</v>
      </c>
      <c r="AR561">
        <v>1.88</v>
      </c>
      <c r="AS561">
        <v>36.212000000000003</v>
      </c>
      <c r="AT561">
        <v>102.6</v>
      </c>
      <c r="AY561">
        <v>2.36</v>
      </c>
      <c r="AZ561" t="s">
        <v>185</v>
      </c>
      <c r="BB561" t="s">
        <v>185</v>
      </c>
      <c r="BD561" t="s">
        <v>68</v>
      </c>
      <c r="BE561" t="s">
        <v>2409</v>
      </c>
      <c r="BF561" t="s">
        <v>2410</v>
      </c>
      <c r="BG561" t="s">
        <v>2411</v>
      </c>
      <c r="BH561">
        <v>0</v>
      </c>
      <c r="BI561">
        <v>0</v>
      </c>
      <c r="BJ561">
        <v>2</v>
      </c>
      <c r="BK561" t="s">
        <v>2412</v>
      </c>
      <c r="BL561">
        <v>8.8620000000000001</v>
      </c>
      <c r="BM561">
        <v>9.0256000000000007</v>
      </c>
      <c r="BN561" s="2">
        <v>42774</v>
      </c>
      <c r="BO561" s="1">
        <v>0.35151620370370368</v>
      </c>
      <c r="BP561" s="3">
        <f t="shared" si="52"/>
        <v>1.0117991290146979</v>
      </c>
      <c r="BQ561" s="3">
        <f t="shared" si="53"/>
        <v>1.0102567069919692</v>
      </c>
    </row>
    <row r="562" spans="1:69" hidden="1" x14ac:dyDescent="0.35">
      <c r="A562">
        <v>560</v>
      </c>
      <c r="B562">
        <v>3687</v>
      </c>
      <c r="D562">
        <v>5</v>
      </c>
      <c r="E562">
        <v>5</v>
      </c>
      <c r="G562">
        <v>16394.400000000001</v>
      </c>
      <c r="I562" t="s">
        <v>182</v>
      </c>
      <c r="L562" t="s">
        <v>2179</v>
      </c>
      <c r="M562">
        <v>9.32</v>
      </c>
      <c r="N562">
        <v>37.9</v>
      </c>
      <c r="O562">
        <v>8.75</v>
      </c>
      <c r="P562" s="3">
        <f t="shared" si="48"/>
        <v>0.93884120171673813</v>
      </c>
      <c r="Q562">
        <v>30.8</v>
      </c>
      <c r="R562" s="3">
        <f t="shared" si="49"/>
        <v>0.81266490765171506</v>
      </c>
      <c r="S562">
        <v>270</v>
      </c>
      <c r="T562">
        <v>9.1590000000000007</v>
      </c>
      <c r="U562">
        <v>38.06</v>
      </c>
      <c r="V562">
        <v>8.7089999999999996</v>
      </c>
      <c r="W562" s="3">
        <f t="shared" si="50"/>
        <v>0.9508679986898132</v>
      </c>
      <c r="X562">
        <v>31.05</v>
      </c>
      <c r="Y562" s="3">
        <f t="shared" si="51"/>
        <v>0.81581713084603258</v>
      </c>
      <c r="Z562">
        <v>270.39999999999998</v>
      </c>
      <c r="AA562">
        <v>77.599999999999994</v>
      </c>
      <c r="AB562">
        <v>24.7</v>
      </c>
      <c r="AC562" t="s">
        <v>64</v>
      </c>
      <c r="AE562" t="s">
        <v>65</v>
      </c>
      <c r="AF562" t="s">
        <v>66</v>
      </c>
      <c r="AG562" t="s">
        <v>1105</v>
      </c>
      <c r="AH562" s="1">
        <v>0.43634259259259262</v>
      </c>
      <c r="AI562" t="s">
        <v>68</v>
      </c>
      <c r="AJ562" t="s">
        <v>69</v>
      </c>
      <c r="AO562">
        <v>7.3579999999999997</v>
      </c>
      <c r="AP562">
        <v>39.29</v>
      </c>
      <c r="AQ562">
        <v>38.4</v>
      </c>
      <c r="AR562">
        <v>1.845</v>
      </c>
      <c r="AS562">
        <v>35.311</v>
      </c>
      <c r="AT562">
        <v>153.6</v>
      </c>
      <c r="AY562">
        <v>2.36</v>
      </c>
      <c r="AZ562" t="s">
        <v>185</v>
      </c>
      <c r="BB562" t="s">
        <v>185</v>
      </c>
      <c r="BD562" t="s">
        <v>68</v>
      </c>
      <c r="BE562" t="s">
        <v>2413</v>
      </c>
      <c r="BF562" t="s">
        <v>2414</v>
      </c>
      <c r="BG562" t="s">
        <v>2415</v>
      </c>
      <c r="BH562">
        <v>0</v>
      </c>
      <c r="BI562">
        <v>0</v>
      </c>
      <c r="BJ562">
        <v>1</v>
      </c>
      <c r="BK562" t="s">
        <v>2416</v>
      </c>
      <c r="BL562">
        <v>8.8620000000000001</v>
      </c>
      <c r="BM562">
        <v>9.0256000000000007</v>
      </c>
      <c r="BN562" t="s">
        <v>2178</v>
      </c>
      <c r="BO562" s="1">
        <v>0.45868055555555554</v>
      </c>
      <c r="BP562" s="3">
        <f t="shared" si="52"/>
        <v>1.0128102568901782</v>
      </c>
      <c r="BQ562" s="3">
        <f t="shared" si="53"/>
        <v>1.0038788720475531</v>
      </c>
    </row>
    <row r="563" spans="1:69" hidden="1" x14ac:dyDescent="0.35">
      <c r="A563">
        <v>561</v>
      </c>
      <c r="B563">
        <v>3650</v>
      </c>
      <c r="D563">
        <v>5</v>
      </c>
      <c r="E563">
        <v>6</v>
      </c>
      <c r="G563">
        <v>16335</v>
      </c>
      <c r="I563" t="s">
        <v>62</v>
      </c>
      <c r="L563" t="s">
        <v>1235</v>
      </c>
      <c r="M563">
        <v>9.31</v>
      </c>
      <c r="N563">
        <v>38.299999999999997</v>
      </c>
      <c r="O563">
        <v>8.8000000000000007</v>
      </c>
      <c r="P563" s="3">
        <f t="shared" si="48"/>
        <v>0.94522019334049412</v>
      </c>
      <c r="Q563">
        <v>31.3</v>
      </c>
      <c r="R563" s="3">
        <f t="shared" si="49"/>
        <v>0.81723237597911236</v>
      </c>
      <c r="S563">
        <v>275</v>
      </c>
      <c r="T563">
        <v>9.4339999999999993</v>
      </c>
      <c r="U563">
        <v>38.5</v>
      </c>
      <c r="V563">
        <v>8.9580000000000002</v>
      </c>
      <c r="W563" s="3">
        <f t="shared" si="50"/>
        <v>0.94954420182319277</v>
      </c>
      <c r="X563">
        <v>31.54</v>
      </c>
      <c r="Y563" s="3">
        <f t="shared" si="51"/>
        <v>0.81922077922077918</v>
      </c>
      <c r="Z563">
        <v>282.60000000000002</v>
      </c>
      <c r="AA563">
        <v>77.8</v>
      </c>
      <c r="AB563">
        <v>24.8</v>
      </c>
      <c r="AC563" t="s">
        <v>64</v>
      </c>
      <c r="AE563" t="s">
        <v>65</v>
      </c>
      <c r="AF563" t="s">
        <v>66</v>
      </c>
      <c r="AG563" t="s">
        <v>1105</v>
      </c>
      <c r="AH563" s="1">
        <v>0.3901736111111111</v>
      </c>
      <c r="AI563" t="s">
        <v>68</v>
      </c>
      <c r="AJ563" t="s">
        <v>69</v>
      </c>
      <c r="AO563">
        <v>7.508</v>
      </c>
      <c r="AP563">
        <v>39.908000000000001</v>
      </c>
      <c r="AQ563">
        <v>25.6</v>
      </c>
      <c r="AR563">
        <v>1.88</v>
      </c>
      <c r="AS563">
        <v>35.911999999999999</v>
      </c>
      <c r="AT563">
        <v>102.6</v>
      </c>
      <c r="AY563">
        <v>2.36</v>
      </c>
      <c r="AZ563" t="s">
        <v>185</v>
      </c>
      <c r="BB563" t="s">
        <v>185</v>
      </c>
      <c r="BD563" t="s">
        <v>68</v>
      </c>
      <c r="BE563" t="s">
        <v>2417</v>
      </c>
      <c r="BF563" t="s">
        <v>2418</v>
      </c>
      <c r="BG563" t="s">
        <v>2419</v>
      </c>
      <c r="BH563">
        <v>0</v>
      </c>
      <c r="BI563">
        <v>0</v>
      </c>
      <c r="BJ563">
        <v>1</v>
      </c>
      <c r="BK563" t="s">
        <v>2420</v>
      </c>
      <c r="BL563">
        <v>8.8620000000000001</v>
      </c>
      <c r="BM563">
        <v>9.0256000000000007</v>
      </c>
      <c r="BN563" t="s">
        <v>1211</v>
      </c>
      <c r="BO563" s="1">
        <v>0.47651620370370368</v>
      </c>
      <c r="BP563" s="3">
        <f t="shared" si="52"/>
        <v>1.004574604428855</v>
      </c>
      <c r="BQ563" s="3">
        <f t="shared" si="53"/>
        <v>1.0024330940624868</v>
      </c>
    </row>
    <row r="564" spans="1:69" hidden="1" x14ac:dyDescent="0.35">
      <c r="A564">
        <v>562</v>
      </c>
      <c r="B564">
        <v>3676</v>
      </c>
      <c r="D564">
        <v>5</v>
      </c>
      <c r="E564">
        <v>5</v>
      </c>
      <c r="G564">
        <v>16394.400000000001</v>
      </c>
      <c r="I564" t="s">
        <v>182</v>
      </c>
      <c r="L564" t="s">
        <v>2179</v>
      </c>
      <c r="M564">
        <v>9.32</v>
      </c>
      <c r="N564">
        <v>37.9</v>
      </c>
      <c r="O564">
        <v>8.75</v>
      </c>
      <c r="P564" s="3">
        <f t="shared" si="48"/>
        <v>0.93884120171673813</v>
      </c>
      <c r="Q564">
        <v>30.8</v>
      </c>
      <c r="R564" s="3">
        <f t="shared" si="49"/>
        <v>0.81266490765171506</v>
      </c>
      <c r="S564">
        <v>270</v>
      </c>
      <c r="T564">
        <v>9.15</v>
      </c>
      <c r="U564">
        <v>38.049999999999997</v>
      </c>
      <c r="V564">
        <v>8.7070000000000007</v>
      </c>
      <c r="W564" s="3">
        <f t="shared" si="50"/>
        <v>0.95158469945355195</v>
      </c>
      <c r="X564">
        <v>30.97</v>
      </c>
      <c r="Y564" s="3">
        <f t="shared" si="51"/>
        <v>0.81392904073587391</v>
      </c>
      <c r="Z564">
        <v>269.7</v>
      </c>
      <c r="AA564">
        <v>77.400000000000006</v>
      </c>
      <c r="AB564">
        <v>24.7</v>
      </c>
      <c r="AC564" t="s">
        <v>64</v>
      </c>
      <c r="AE564" t="s">
        <v>65</v>
      </c>
      <c r="AF564" t="s">
        <v>66</v>
      </c>
      <c r="AG564" t="s">
        <v>1105</v>
      </c>
      <c r="AH564" s="1">
        <v>0.43337962962962961</v>
      </c>
      <c r="AI564" t="s">
        <v>68</v>
      </c>
      <c r="AJ564" t="s">
        <v>69</v>
      </c>
      <c r="AO564">
        <v>7.3630000000000004</v>
      </c>
      <c r="AP564">
        <v>39.064999999999998</v>
      </c>
      <c r="AQ564">
        <v>38.4</v>
      </c>
      <c r="AR564">
        <v>1.845</v>
      </c>
      <c r="AS564">
        <v>35.124000000000002</v>
      </c>
      <c r="AT564">
        <v>153.6</v>
      </c>
      <c r="AY564">
        <v>2.36</v>
      </c>
      <c r="AZ564" t="s">
        <v>185</v>
      </c>
      <c r="BB564" t="s">
        <v>185</v>
      </c>
      <c r="BD564" t="s">
        <v>68</v>
      </c>
      <c r="BE564" t="s">
        <v>2421</v>
      </c>
      <c r="BF564" t="s">
        <v>2422</v>
      </c>
      <c r="BG564" t="s">
        <v>2423</v>
      </c>
      <c r="BH564">
        <v>0</v>
      </c>
      <c r="BI564">
        <v>0</v>
      </c>
      <c r="BJ564">
        <v>1</v>
      </c>
      <c r="BK564" t="s">
        <v>2424</v>
      </c>
      <c r="BL564">
        <v>8.8620000000000001</v>
      </c>
      <c r="BM564">
        <v>9.0256000000000007</v>
      </c>
      <c r="BN564" t="s">
        <v>2178</v>
      </c>
      <c r="BO564" s="1">
        <v>0.49199074074074073</v>
      </c>
      <c r="BP564" s="3">
        <f t="shared" si="52"/>
        <v>1.0135736455893833</v>
      </c>
      <c r="BQ564" s="3">
        <f t="shared" si="53"/>
        <v>1.0015555403860266</v>
      </c>
    </row>
    <row r="565" spans="1:69" hidden="1" x14ac:dyDescent="0.35">
      <c r="A565">
        <v>563</v>
      </c>
      <c r="B565">
        <v>3762</v>
      </c>
      <c r="D565">
        <v>5</v>
      </c>
      <c r="E565">
        <v>6</v>
      </c>
      <c r="G565">
        <v>16335</v>
      </c>
      <c r="I565" t="s">
        <v>62</v>
      </c>
      <c r="L565" t="s">
        <v>1184</v>
      </c>
      <c r="M565">
        <v>9.31</v>
      </c>
      <c r="N565">
        <v>38.299999999999997</v>
      </c>
      <c r="O565">
        <v>8.8000000000000007</v>
      </c>
      <c r="P565" s="3">
        <f t="shared" si="48"/>
        <v>0.94522019334049412</v>
      </c>
      <c r="Q565">
        <v>31.3</v>
      </c>
      <c r="R565" s="3">
        <f t="shared" si="49"/>
        <v>0.81723237597911236</v>
      </c>
      <c r="S565">
        <v>275</v>
      </c>
      <c r="T565">
        <v>9.3670000000000009</v>
      </c>
      <c r="U565">
        <v>38.56</v>
      </c>
      <c r="V565">
        <v>8.9450000000000003</v>
      </c>
      <c r="W565" s="3">
        <f t="shared" si="50"/>
        <v>0.95494822248318556</v>
      </c>
      <c r="X565">
        <v>31.83</v>
      </c>
      <c r="Y565" s="3">
        <f t="shared" si="51"/>
        <v>0.82546680497925307</v>
      </c>
      <c r="Z565">
        <v>284.7</v>
      </c>
      <c r="AA565">
        <v>78.8</v>
      </c>
      <c r="AB565">
        <v>24.9</v>
      </c>
      <c r="AC565" t="s">
        <v>64</v>
      </c>
      <c r="AE565" t="s">
        <v>65</v>
      </c>
      <c r="AF565" t="s">
        <v>66</v>
      </c>
      <c r="AG565" t="s">
        <v>1105</v>
      </c>
      <c r="AH565" s="1">
        <v>0.38533564814814814</v>
      </c>
      <c r="AI565" t="s">
        <v>68</v>
      </c>
      <c r="AJ565" t="s">
        <v>69</v>
      </c>
      <c r="AO565">
        <v>7.5129999999999999</v>
      </c>
      <c r="AP565">
        <v>39.965000000000003</v>
      </c>
      <c r="AQ565">
        <v>25.6</v>
      </c>
      <c r="AR565">
        <v>1.88</v>
      </c>
      <c r="AS565">
        <v>36.286999999999999</v>
      </c>
      <c r="AT565">
        <v>102.6</v>
      </c>
      <c r="AY565">
        <v>2.36</v>
      </c>
      <c r="AZ565" t="s">
        <v>185</v>
      </c>
      <c r="BB565" t="s">
        <v>185</v>
      </c>
      <c r="BD565" t="s">
        <v>68</v>
      </c>
      <c r="BE565" t="s">
        <v>2425</v>
      </c>
      <c r="BF565" t="s">
        <v>2426</v>
      </c>
      <c r="BG565" t="s">
        <v>2427</v>
      </c>
      <c r="BH565">
        <v>0</v>
      </c>
      <c r="BI565">
        <v>0</v>
      </c>
      <c r="BJ565">
        <v>1</v>
      </c>
      <c r="BK565" t="s">
        <v>2428</v>
      </c>
      <c r="BL565">
        <v>8.8620000000000001</v>
      </c>
      <c r="BM565">
        <v>9.0256000000000007</v>
      </c>
      <c r="BN565" s="2">
        <v>42774</v>
      </c>
      <c r="BO565" s="1">
        <v>0.37103009259259262</v>
      </c>
      <c r="BP565" s="3">
        <f t="shared" si="52"/>
        <v>1.0102918126498246</v>
      </c>
      <c r="BQ565" s="3">
        <f t="shared" si="53"/>
        <v>1.0100759945912265</v>
      </c>
    </row>
    <row r="566" spans="1:69" hidden="1" x14ac:dyDescent="0.35">
      <c r="A566">
        <v>564</v>
      </c>
      <c r="B566">
        <v>2436</v>
      </c>
      <c r="D566">
        <v>36</v>
      </c>
      <c r="E566">
        <v>1</v>
      </c>
      <c r="G566">
        <v>12425.2</v>
      </c>
      <c r="I566" t="s">
        <v>62</v>
      </c>
      <c r="L566" t="s">
        <v>183</v>
      </c>
      <c r="M566">
        <v>5.99</v>
      </c>
      <c r="N566">
        <v>48.7</v>
      </c>
      <c r="O566">
        <v>5.61</v>
      </c>
      <c r="P566" s="3">
        <f t="shared" si="48"/>
        <v>0.93656093489148584</v>
      </c>
      <c r="Q566">
        <v>41</v>
      </c>
      <c r="R566" s="3">
        <f t="shared" si="49"/>
        <v>0.84188911704312108</v>
      </c>
      <c r="S566">
        <v>230</v>
      </c>
      <c r="T566">
        <v>6.0720000000000001</v>
      </c>
      <c r="U566">
        <v>48.79</v>
      </c>
      <c r="V566">
        <v>5.6719999999999997</v>
      </c>
      <c r="W566" s="3">
        <f t="shared" si="50"/>
        <v>0.93412384716732533</v>
      </c>
      <c r="X566">
        <v>40.729999999999997</v>
      </c>
      <c r="Y566" s="3">
        <f t="shared" si="51"/>
        <v>0.83480221356835416</v>
      </c>
      <c r="Z566">
        <v>231</v>
      </c>
      <c r="AA566">
        <v>78</v>
      </c>
      <c r="AB566">
        <v>25.1</v>
      </c>
      <c r="AC566" t="s">
        <v>64</v>
      </c>
      <c r="AE566" t="s">
        <v>65</v>
      </c>
      <c r="AF566" t="s">
        <v>66</v>
      </c>
      <c r="AG566" t="s">
        <v>2429</v>
      </c>
      <c r="AH566" s="1">
        <v>0.76734953703703701</v>
      </c>
      <c r="AI566" t="s">
        <v>68</v>
      </c>
      <c r="AJ566" t="s">
        <v>69</v>
      </c>
      <c r="AO566">
        <v>4.8659999999999997</v>
      </c>
      <c r="AP566">
        <v>49.573</v>
      </c>
      <c r="AQ566">
        <v>6.4</v>
      </c>
      <c r="AR566">
        <v>1.216</v>
      </c>
      <c r="AS566">
        <v>45.993000000000002</v>
      </c>
      <c r="AT566">
        <v>19.2</v>
      </c>
      <c r="AY566">
        <v>1.8</v>
      </c>
      <c r="AZ566" t="s">
        <v>2430</v>
      </c>
      <c r="BB566" t="s">
        <v>2430</v>
      </c>
      <c r="BD566" t="s">
        <v>68</v>
      </c>
      <c r="BE566" t="s">
        <v>2431</v>
      </c>
      <c r="BF566" t="s">
        <v>2432</v>
      </c>
      <c r="BG566" t="s">
        <v>2433</v>
      </c>
      <c r="BH566">
        <v>0</v>
      </c>
      <c r="BI566">
        <v>0</v>
      </c>
      <c r="BJ566">
        <v>1</v>
      </c>
      <c r="BK566" t="s">
        <v>2434</v>
      </c>
      <c r="BL566">
        <v>8.8620000000000001</v>
      </c>
      <c r="BM566">
        <v>8.8620000000000001</v>
      </c>
      <c r="BN566" t="s">
        <v>2429</v>
      </c>
      <c r="BO566" s="1">
        <v>0.76734953703703701</v>
      </c>
      <c r="BP566" s="3">
        <f t="shared" si="52"/>
        <v>0.99739783324996056</v>
      </c>
      <c r="BQ566" s="3">
        <f t="shared" si="53"/>
        <v>0.99158214148241097</v>
      </c>
    </row>
    <row r="567" spans="1:69" hidden="1" x14ac:dyDescent="0.35">
      <c r="A567">
        <v>565</v>
      </c>
      <c r="B567">
        <v>2438</v>
      </c>
      <c r="D567">
        <v>36</v>
      </c>
      <c r="E567">
        <v>1</v>
      </c>
      <c r="G567">
        <v>12425.2</v>
      </c>
      <c r="I567" t="s">
        <v>62</v>
      </c>
      <c r="L567" t="s">
        <v>183</v>
      </c>
      <c r="M567">
        <v>5.99</v>
      </c>
      <c r="N567">
        <v>48.7</v>
      </c>
      <c r="O567">
        <v>5.61</v>
      </c>
      <c r="P567" s="3">
        <f t="shared" si="48"/>
        <v>0.93656093489148584</v>
      </c>
      <c r="Q567">
        <v>41</v>
      </c>
      <c r="R567" s="3">
        <f t="shared" si="49"/>
        <v>0.84188911704312108</v>
      </c>
      <c r="S567">
        <v>230</v>
      </c>
      <c r="T567">
        <v>5.8979999999999997</v>
      </c>
      <c r="U567">
        <v>48.56</v>
      </c>
      <c r="V567">
        <v>5.4829999999999997</v>
      </c>
      <c r="W567" s="3">
        <f t="shared" si="50"/>
        <v>0.9296371651407257</v>
      </c>
      <c r="X567">
        <v>40.46</v>
      </c>
      <c r="Y567" s="3">
        <f t="shared" si="51"/>
        <v>0.83319604612850084</v>
      </c>
      <c r="Z567">
        <v>221.9</v>
      </c>
      <c r="AA567">
        <v>77.5</v>
      </c>
      <c r="AB567">
        <v>25.3</v>
      </c>
      <c r="AC567" t="s">
        <v>64</v>
      </c>
      <c r="AE567" t="s">
        <v>65</v>
      </c>
      <c r="AF567" t="s">
        <v>66</v>
      </c>
      <c r="AG567" t="s">
        <v>2429</v>
      </c>
      <c r="AH567" s="1">
        <v>0.77818287037037037</v>
      </c>
      <c r="AI567" t="s">
        <v>68</v>
      </c>
      <c r="AJ567" t="s">
        <v>69</v>
      </c>
      <c r="AO567">
        <v>4.7270000000000003</v>
      </c>
      <c r="AP567">
        <v>49.798999999999999</v>
      </c>
      <c r="AQ567">
        <v>6.45</v>
      </c>
      <c r="AR567">
        <v>1.181</v>
      </c>
      <c r="AS567">
        <v>45.707999999999998</v>
      </c>
      <c r="AT567">
        <v>19.2</v>
      </c>
      <c r="AY567">
        <v>1.8</v>
      </c>
      <c r="AZ567" t="s">
        <v>2430</v>
      </c>
      <c r="BB567" t="s">
        <v>2430</v>
      </c>
      <c r="BD567" t="s">
        <v>68</v>
      </c>
      <c r="BE567" t="s">
        <v>2435</v>
      </c>
      <c r="BF567" t="s">
        <v>2436</v>
      </c>
      <c r="BG567" t="s">
        <v>2437</v>
      </c>
      <c r="BH567">
        <v>0</v>
      </c>
      <c r="BI567">
        <v>0</v>
      </c>
      <c r="BJ567">
        <v>1</v>
      </c>
      <c r="BK567" t="s">
        <v>2438</v>
      </c>
      <c r="BL567">
        <v>8.8620000000000001</v>
      </c>
      <c r="BM567">
        <v>8.8620000000000001</v>
      </c>
      <c r="BN567" t="s">
        <v>2429</v>
      </c>
      <c r="BO567" s="1">
        <v>0.77818287037037037</v>
      </c>
      <c r="BP567" s="3">
        <f t="shared" si="52"/>
        <v>0.99260724049785143</v>
      </c>
      <c r="BQ567" s="3">
        <f t="shared" si="53"/>
        <v>0.98967432796239008</v>
      </c>
    </row>
    <row r="568" spans="1:69" hidden="1" x14ac:dyDescent="0.35">
      <c r="A568">
        <v>566</v>
      </c>
      <c r="B568">
        <v>2530</v>
      </c>
      <c r="D568">
        <v>36</v>
      </c>
      <c r="E568">
        <v>1</v>
      </c>
      <c r="G568">
        <v>12425.2</v>
      </c>
      <c r="I568" t="s">
        <v>62</v>
      </c>
      <c r="L568" t="s">
        <v>183</v>
      </c>
      <c r="M568">
        <v>5.99</v>
      </c>
      <c r="N568">
        <v>48.7</v>
      </c>
      <c r="O568">
        <v>5.61</v>
      </c>
      <c r="P568" s="3">
        <f t="shared" si="48"/>
        <v>0.93656093489148584</v>
      </c>
      <c r="Q568">
        <v>41</v>
      </c>
      <c r="R568" s="3">
        <f t="shared" si="49"/>
        <v>0.84188911704312108</v>
      </c>
      <c r="S568">
        <v>230</v>
      </c>
      <c r="T568">
        <v>5.9139999999999997</v>
      </c>
      <c r="U568">
        <v>48.33</v>
      </c>
      <c r="V568">
        <v>5.5</v>
      </c>
      <c r="W568" s="3">
        <f t="shared" si="50"/>
        <v>0.92999661819411572</v>
      </c>
      <c r="X568">
        <v>40.26</v>
      </c>
      <c r="Y568" s="3">
        <f t="shared" si="51"/>
        <v>0.8330229671011794</v>
      </c>
      <c r="Z568">
        <v>221.5</v>
      </c>
      <c r="AA568">
        <v>77.5</v>
      </c>
      <c r="AB568">
        <v>25</v>
      </c>
      <c r="AC568" t="s">
        <v>64</v>
      </c>
      <c r="AE568" t="s">
        <v>65</v>
      </c>
      <c r="AF568" t="s">
        <v>66</v>
      </c>
      <c r="AG568" s="2">
        <v>43593</v>
      </c>
      <c r="AH568" s="1">
        <v>0.33475694444444443</v>
      </c>
      <c r="AI568" t="s">
        <v>68</v>
      </c>
      <c r="AJ568" t="s">
        <v>69</v>
      </c>
      <c r="AO568">
        <v>4.7370000000000001</v>
      </c>
      <c r="AP568">
        <v>49.573</v>
      </c>
      <c r="AQ568">
        <v>6.4</v>
      </c>
      <c r="AR568">
        <v>1.181</v>
      </c>
      <c r="AS568">
        <v>45.445</v>
      </c>
      <c r="AT568">
        <v>25.6</v>
      </c>
      <c r="AY568">
        <v>2.36</v>
      </c>
      <c r="AZ568" s="2">
        <v>43624</v>
      </c>
      <c r="BB568" s="2">
        <v>43624</v>
      </c>
      <c r="BD568" t="s">
        <v>68</v>
      </c>
      <c r="BE568" t="s">
        <v>2439</v>
      </c>
      <c r="BF568" t="s">
        <v>2440</v>
      </c>
      <c r="BG568" t="s">
        <v>2441</v>
      </c>
      <c r="BH568">
        <v>0</v>
      </c>
      <c r="BI568">
        <v>0</v>
      </c>
      <c r="BJ568">
        <v>1</v>
      </c>
      <c r="BK568" t="s">
        <v>2442</v>
      </c>
      <c r="BL568">
        <v>8.8620000000000001</v>
      </c>
      <c r="BM568">
        <v>8.8620000000000001</v>
      </c>
      <c r="BN568" s="2">
        <v>43593</v>
      </c>
      <c r="BO568" s="1">
        <v>0.33475694444444443</v>
      </c>
      <c r="BP568" s="3">
        <f t="shared" si="52"/>
        <v>0.99299104152990247</v>
      </c>
      <c r="BQ568" s="3">
        <f t="shared" si="53"/>
        <v>0.98946874384944972</v>
      </c>
    </row>
    <row r="569" spans="1:69" hidden="1" x14ac:dyDescent="0.35">
      <c r="A569">
        <v>567</v>
      </c>
      <c r="B569">
        <v>2531</v>
      </c>
      <c r="D569">
        <v>36</v>
      </c>
      <c r="E569">
        <v>1</v>
      </c>
      <c r="G569">
        <v>12425.2</v>
      </c>
      <c r="I569" t="s">
        <v>62</v>
      </c>
      <c r="L569" t="s">
        <v>183</v>
      </c>
      <c r="M569">
        <v>5.99</v>
      </c>
      <c r="N569">
        <v>48.7</v>
      </c>
      <c r="O569">
        <v>5.61</v>
      </c>
      <c r="P569" s="3">
        <f t="shared" si="48"/>
        <v>0.93656093489148584</v>
      </c>
      <c r="Q569">
        <v>41</v>
      </c>
      <c r="R569" s="3">
        <f t="shared" si="49"/>
        <v>0.84188911704312108</v>
      </c>
      <c r="S569">
        <v>230</v>
      </c>
      <c r="T569">
        <v>5.9939999999999998</v>
      </c>
      <c r="U569">
        <v>48.45</v>
      </c>
      <c r="V569">
        <v>5.5570000000000004</v>
      </c>
      <c r="W569" s="3">
        <f t="shared" si="50"/>
        <v>0.9270937604270939</v>
      </c>
      <c r="X569">
        <v>40.18</v>
      </c>
      <c r="Y569" s="3">
        <f t="shared" si="51"/>
        <v>0.82930856553147569</v>
      </c>
      <c r="Z569">
        <v>223.2</v>
      </c>
      <c r="AA569">
        <v>76.900000000000006</v>
      </c>
      <c r="AB569">
        <v>24.9</v>
      </c>
      <c r="AC569" t="s">
        <v>64</v>
      </c>
      <c r="AE569" t="s">
        <v>65</v>
      </c>
      <c r="AF569" t="s">
        <v>66</v>
      </c>
      <c r="AG569" s="2">
        <v>43593</v>
      </c>
      <c r="AH569" s="1">
        <v>0.33703703703703702</v>
      </c>
      <c r="AI569" t="s">
        <v>68</v>
      </c>
      <c r="AJ569" t="s">
        <v>69</v>
      </c>
      <c r="AO569">
        <v>4.8010000000000002</v>
      </c>
      <c r="AP569">
        <v>49.723999999999997</v>
      </c>
      <c r="AQ569">
        <v>6.4</v>
      </c>
      <c r="AR569">
        <v>1.2010000000000001</v>
      </c>
      <c r="AS569">
        <v>45.67</v>
      </c>
      <c r="AT569">
        <v>25.6</v>
      </c>
      <c r="AY569">
        <v>2.36</v>
      </c>
      <c r="AZ569" s="2">
        <v>43624</v>
      </c>
      <c r="BB569" s="2">
        <v>43624</v>
      </c>
      <c r="BD569" t="s">
        <v>68</v>
      </c>
      <c r="BE569" t="s">
        <v>2443</v>
      </c>
      <c r="BF569" t="s">
        <v>2444</v>
      </c>
      <c r="BG569" t="s">
        <v>2445</v>
      </c>
      <c r="BH569">
        <v>0</v>
      </c>
      <c r="BI569">
        <v>0</v>
      </c>
      <c r="BJ569">
        <v>1</v>
      </c>
      <c r="BK569" t="s">
        <v>2446</v>
      </c>
      <c r="BL569">
        <v>8.8620000000000001</v>
      </c>
      <c r="BM569">
        <v>8.8620000000000001</v>
      </c>
      <c r="BN569" s="2">
        <v>43593</v>
      </c>
      <c r="BO569" s="1">
        <v>0.33703703703703702</v>
      </c>
      <c r="BP569" s="3">
        <f t="shared" si="52"/>
        <v>0.98989155525103245</v>
      </c>
      <c r="BQ569" s="3">
        <f t="shared" si="53"/>
        <v>0.98505675954592364</v>
      </c>
    </row>
    <row r="570" spans="1:69" hidden="1" x14ac:dyDescent="0.35">
      <c r="A570">
        <v>568</v>
      </c>
      <c r="B570">
        <v>2541</v>
      </c>
      <c r="D570">
        <v>36</v>
      </c>
      <c r="E570">
        <v>1</v>
      </c>
      <c r="G570">
        <v>12425.2</v>
      </c>
      <c r="I570" t="s">
        <v>62</v>
      </c>
      <c r="L570" t="s">
        <v>183</v>
      </c>
      <c r="M570">
        <v>5.99</v>
      </c>
      <c r="N570">
        <v>48.7</v>
      </c>
      <c r="O570">
        <v>5.61</v>
      </c>
      <c r="P570" s="3">
        <f t="shared" si="48"/>
        <v>0.93656093489148584</v>
      </c>
      <c r="Q570">
        <v>41</v>
      </c>
      <c r="R570" s="3">
        <f t="shared" si="49"/>
        <v>0.84188911704312108</v>
      </c>
      <c r="S570">
        <v>230</v>
      </c>
      <c r="T570">
        <v>6.05</v>
      </c>
      <c r="U570">
        <v>48.46</v>
      </c>
      <c r="V570">
        <v>5.6589999999999998</v>
      </c>
      <c r="W570" s="3">
        <f t="shared" si="50"/>
        <v>0.93537190082644628</v>
      </c>
      <c r="X570">
        <v>40.33</v>
      </c>
      <c r="Y570" s="3">
        <f t="shared" si="51"/>
        <v>0.83223276929426326</v>
      </c>
      <c r="Z570">
        <v>228.2</v>
      </c>
      <c r="AA570">
        <v>77.8</v>
      </c>
      <c r="AB570">
        <v>25.1</v>
      </c>
      <c r="AC570" t="s">
        <v>64</v>
      </c>
      <c r="AE570" t="s">
        <v>65</v>
      </c>
      <c r="AF570" t="s">
        <v>66</v>
      </c>
      <c r="AG570" t="s">
        <v>2429</v>
      </c>
      <c r="AH570" s="1">
        <v>0.7876967592592593</v>
      </c>
      <c r="AI570" t="s">
        <v>68</v>
      </c>
      <c r="AJ570" t="s">
        <v>69</v>
      </c>
      <c r="AO570">
        <v>4.8639999999999999</v>
      </c>
      <c r="AP570">
        <v>49.686</v>
      </c>
      <c r="AQ570">
        <v>6.4</v>
      </c>
      <c r="AR570">
        <v>1.21</v>
      </c>
      <c r="AS570">
        <v>45.633000000000003</v>
      </c>
      <c r="AT570">
        <v>19.2</v>
      </c>
      <c r="AY570">
        <v>1.8</v>
      </c>
      <c r="AZ570" t="s">
        <v>2430</v>
      </c>
      <c r="BB570" t="s">
        <v>2430</v>
      </c>
      <c r="BD570" t="s">
        <v>68</v>
      </c>
      <c r="BE570" t="s">
        <v>2447</v>
      </c>
      <c r="BF570" t="s">
        <v>2448</v>
      </c>
      <c r="BG570" t="s">
        <v>2449</v>
      </c>
      <c r="BH570">
        <v>0</v>
      </c>
      <c r="BI570">
        <v>0</v>
      </c>
      <c r="BJ570">
        <v>1</v>
      </c>
      <c r="BK570" t="s">
        <v>2450</v>
      </c>
      <c r="BL570">
        <v>8.8620000000000001</v>
      </c>
      <c r="BM570">
        <v>8.8620000000000001</v>
      </c>
      <c r="BN570" t="s">
        <v>2429</v>
      </c>
      <c r="BO570" s="1">
        <v>0.7876967592592593</v>
      </c>
      <c r="BP570" s="3">
        <f t="shared" si="52"/>
        <v>0.99873042530310396</v>
      </c>
      <c r="BQ570" s="3">
        <f t="shared" si="53"/>
        <v>0.98853014303977127</v>
      </c>
    </row>
    <row r="571" spans="1:69" hidden="1" x14ac:dyDescent="0.35">
      <c r="A571">
        <v>569</v>
      </c>
      <c r="B571">
        <v>2440</v>
      </c>
      <c r="D571">
        <v>36</v>
      </c>
      <c r="E571">
        <v>1</v>
      </c>
      <c r="G571">
        <v>12425.2</v>
      </c>
      <c r="I571" t="s">
        <v>62</v>
      </c>
      <c r="L571" t="s">
        <v>183</v>
      </c>
      <c r="M571">
        <v>5.99</v>
      </c>
      <c r="N571">
        <v>48.7</v>
      </c>
      <c r="O571">
        <v>5.61</v>
      </c>
      <c r="P571" s="3">
        <f t="shared" si="48"/>
        <v>0.93656093489148584</v>
      </c>
      <c r="Q571">
        <v>41</v>
      </c>
      <c r="R571" s="3">
        <f t="shared" si="49"/>
        <v>0.84188911704312108</v>
      </c>
      <c r="S571">
        <v>230</v>
      </c>
      <c r="T571">
        <v>6.06</v>
      </c>
      <c r="U571">
        <v>48.75</v>
      </c>
      <c r="V571">
        <v>5.6719999999999997</v>
      </c>
      <c r="W571" s="3">
        <f t="shared" si="50"/>
        <v>0.93597359735973595</v>
      </c>
      <c r="X571">
        <v>40.67</v>
      </c>
      <c r="Y571" s="3">
        <f t="shared" si="51"/>
        <v>0.83425641025641029</v>
      </c>
      <c r="Z571">
        <v>230.7</v>
      </c>
      <c r="AA571">
        <v>78.099999999999994</v>
      </c>
      <c r="AB571">
        <v>25.4</v>
      </c>
      <c r="AC571" t="s">
        <v>64</v>
      </c>
      <c r="AE571" t="s">
        <v>65</v>
      </c>
      <c r="AF571" t="s">
        <v>66</v>
      </c>
      <c r="AG571" t="s">
        <v>2429</v>
      </c>
      <c r="AH571" s="1">
        <v>0.78436342592592589</v>
      </c>
      <c r="AI571" t="s">
        <v>68</v>
      </c>
      <c r="AJ571" t="s">
        <v>69</v>
      </c>
      <c r="AO571">
        <v>4.8559999999999999</v>
      </c>
      <c r="AP571">
        <v>50.024000000000001</v>
      </c>
      <c r="AQ571">
        <v>6.4</v>
      </c>
      <c r="AR571">
        <v>1.2110000000000001</v>
      </c>
      <c r="AS571">
        <v>45.97</v>
      </c>
      <c r="AT571">
        <v>19.2</v>
      </c>
      <c r="AY571">
        <v>1.8</v>
      </c>
      <c r="AZ571" t="s">
        <v>2430</v>
      </c>
      <c r="BB571" t="s">
        <v>2430</v>
      </c>
      <c r="BD571" t="s">
        <v>68</v>
      </c>
      <c r="BE571" t="s">
        <v>2451</v>
      </c>
      <c r="BF571" t="s">
        <v>2452</v>
      </c>
      <c r="BG571" t="s">
        <v>2453</v>
      </c>
      <c r="BH571">
        <v>0</v>
      </c>
      <c r="BI571">
        <v>0</v>
      </c>
      <c r="BJ571">
        <v>1</v>
      </c>
      <c r="BK571" t="s">
        <v>2454</v>
      </c>
      <c r="BL571">
        <v>8.8620000000000001</v>
      </c>
      <c r="BM571">
        <v>8.8620000000000001</v>
      </c>
      <c r="BN571" t="s">
        <v>2429</v>
      </c>
      <c r="BO571" s="1">
        <v>0.78436342592592589</v>
      </c>
      <c r="BP571" s="3">
        <f t="shared" si="52"/>
        <v>0.99937287846431699</v>
      </c>
      <c r="BQ571" s="3">
        <f t="shared" si="53"/>
        <v>0.99093383364602883</v>
      </c>
    </row>
    <row r="572" spans="1:69" hidden="1" x14ac:dyDescent="0.35">
      <c r="A572">
        <v>570</v>
      </c>
      <c r="B572">
        <v>2533</v>
      </c>
      <c r="D572">
        <v>36</v>
      </c>
      <c r="E572">
        <v>1</v>
      </c>
      <c r="G572">
        <v>12425.2</v>
      </c>
      <c r="I572" t="s">
        <v>62</v>
      </c>
      <c r="L572" t="s">
        <v>183</v>
      </c>
      <c r="M572">
        <v>5.99</v>
      </c>
      <c r="N572">
        <v>48.7</v>
      </c>
      <c r="O572">
        <v>5.61</v>
      </c>
      <c r="P572" s="3">
        <f t="shared" si="48"/>
        <v>0.93656093489148584</v>
      </c>
      <c r="Q572">
        <v>41</v>
      </c>
      <c r="R572" s="3">
        <f t="shared" si="49"/>
        <v>0.84188911704312108</v>
      </c>
      <c r="S572">
        <v>230</v>
      </c>
      <c r="T572">
        <v>6.07</v>
      </c>
      <c r="U572">
        <v>48.84</v>
      </c>
      <c r="V572">
        <v>5.6539999999999999</v>
      </c>
      <c r="W572" s="3">
        <f t="shared" si="50"/>
        <v>0.9314662273476112</v>
      </c>
      <c r="X572">
        <v>40.61</v>
      </c>
      <c r="Y572" s="3">
        <f t="shared" si="51"/>
        <v>0.83149058149058142</v>
      </c>
      <c r="Z572">
        <v>229.6</v>
      </c>
      <c r="AA572">
        <v>77.5</v>
      </c>
      <c r="AB572">
        <v>25</v>
      </c>
      <c r="AC572" t="s">
        <v>64</v>
      </c>
      <c r="AE572" t="s">
        <v>65</v>
      </c>
      <c r="AF572" t="s">
        <v>66</v>
      </c>
      <c r="AG572" s="2">
        <v>43593</v>
      </c>
      <c r="AH572" s="1">
        <v>0.34040509259259261</v>
      </c>
      <c r="AI572" t="s">
        <v>68</v>
      </c>
      <c r="AJ572" t="s">
        <v>69</v>
      </c>
      <c r="AO572">
        <v>4.8609999999999998</v>
      </c>
      <c r="AP572">
        <v>50.136000000000003</v>
      </c>
      <c r="AQ572">
        <v>6.4</v>
      </c>
      <c r="AR572">
        <v>1.1659999999999999</v>
      </c>
      <c r="AS572">
        <v>45.899000000000001</v>
      </c>
      <c r="AT572">
        <v>25.6</v>
      </c>
      <c r="AY572">
        <v>2.36</v>
      </c>
      <c r="AZ572" s="2">
        <v>43624</v>
      </c>
      <c r="BB572" s="2">
        <v>43624</v>
      </c>
      <c r="BD572" t="s">
        <v>68</v>
      </c>
      <c r="BE572" t="s">
        <v>2455</v>
      </c>
      <c r="BF572" t="s">
        <v>2456</v>
      </c>
      <c r="BG572" t="s">
        <v>2457</v>
      </c>
      <c r="BH572">
        <v>0</v>
      </c>
      <c r="BI572">
        <v>0</v>
      </c>
      <c r="BJ572">
        <v>1</v>
      </c>
      <c r="BK572" t="s">
        <v>2458</v>
      </c>
      <c r="BL572">
        <v>8.8620000000000001</v>
      </c>
      <c r="BM572">
        <v>8.8620000000000001</v>
      </c>
      <c r="BN572" s="2">
        <v>43593</v>
      </c>
      <c r="BO572" s="1">
        <v>0.34040509259259261</v>
      </c>
      <c r="BP572" s="3">
        <f t="shared" si="52"/>
        <v>0.99456019640146009</v>
      </c>
      <c r="BQ572" s="3">
        <f t="shared" si="53"/>
        <v>0.98764856874612972</v>
      </c>
    </row>
    <row r="573" spans="1:69" s="4" customFormat="1" hidden="1" x14ac:dyDescent="0.35">
      <c r="A573" s="4">
        <v>571</v>
      </c>
      <c r="B573" s="4">
        <v>2529</v>
      </c>
      <c r="D573" s="4">
        <v>36</v>
      </c>
      <c r="E573" s="4">
        <v>1</v>
      </c>
      <c r="G573" s="4">
        <v>12425.2</v>
      </c>
      <c r="I573" s="4" t="s">
        <v>62</v>
      </c>
      <c r="L573" s="4" t="s">
        <v>183</v>
      </c>
      <c r="M573" s="4">
        <v>5.99</v>
      </c>
      <c r="N573" s="4">
        <v>48.7</v>
      </c>
      <c r="O573" s="4">
        <v>5.61</v>
      </c>
      <c r="P573" s="5">
        <f t="shared" si="48"/>
        <v>0.93656093489148584</v>
      </c>
      <c r="Q573" s="4">
        <v>41</v>
      </c>
      <c r="R573" s="5">
        <f t="shared" si="49"/>
        <v>0.84188911704312108</v>
      </c>
      <c r="S573" s="4">
        <v>230</v>
      </c>
      <c r="T573" s="4">
        <v>5.9080000000000004</v>
      </c>
      <c r="U573" s="4">
        <v>48.38</v>
      </c>
      <c r="V573" s="4">
        <v>5.556</v>
      </c>
      <c r="W573" s="5">
        <f t="shared" si="50"/>
        <v>0.94041976980365605</v>
      </c>
      <c r="X573" s="4">
        <v>40.29</v>
      </c>
      <c r="Y573" s="5">
        <f t="shared" si="51"/>
        <v>0.83278214138073581</v>
      </c>
      <c r="Z573" s="4">
        <v>223.8</v>
      </c>
      <c r="AA573" s="4">
        <v>78.3</v>
      </c>
      <c r="AB573" s="4">
        <v>25.3</v>
      </c>
      <c r="AC573" s="4" t="s">
        <v>64</v>
      </c>
      <c r="AE573" s="4" t="s">
        <v>65</v>
      </c>
      <c r="AF573" s="4" t="s">
        <v>66</v>
      </c>
      <c r="AG573" s="6">
        <v>43593</v>
      </c>
      <c r="AH573" s="7">
        <v>0.33162037037037034</v>
      </c>
      <c r="AI573" s="4" t="s">
        <v>68</v>
      </c>
      <c r="AJ573" s="4" t="s">
        <v>69</v>
      </c>
      <c r="AO573" s="4">
        <v>4.7300000000000004</v>
      </c>
      <c r="AP573" s="4">
        <v>49.048000000000002</v>
      </c>
      <c r="AQ573" s="4">
        <v>6.4</v>
      </c>
      <c r="AR573" s="4">
        <v>1.18</v>
      </c>
      <c r="AS573" s="4">
        <v>45.02</v>
      </c>
      <c r="AT573" s="4">
        <v>25.6</v>
      </c>
      <c r="AY573" s="4">
        <v>2.36</v>
      </c>
      <c r="AZ573" s="6">
        <v>43624</v>
      </c>
      <c r="BB573" s="6">
        <v>43624</v>
      </c>
      <c r="BD573" s="4" t="s">
        <v>68</v>
      </c>
      <c r="BE573" s="4" t="s">
        <v>2459</v>
      </c>
      <c r="BF573" s="4" t="s">
        <v>2460</v>
      </c>
      <c r="BG573" s="4" t="s">
        <v>2461</v>
      </c>
      <c r="BH573" s="4">
        <v>0</v>
      </c>
      <c r="BI573" s="4">
        <v>0</v>
      </c>
      <c r="BJ573" s="4">
        <v>1</v>
      </c>
      <c r="BK573" s="4" t="s">
        <v>2462</v>
      </c>
      <c r="BL573" s="4">
        <v>8.8620000000000001</v>
      </c>
      <c r="BM573" s="4">
        <v>8.8620000000000001</v>
      </c>
      <c r="BN573" s="6">
        <v>43593</v>
      </c>
      <c r="BO573" s="7">
        <v>0.33162037037037034</v>
      </c>
      <c r="BP573" s="5">
        <f t="shared" si="52"/>
        <v>1.0041202176691444</v>
      </c>
      <c r="BQ573" s="5">
        <f t="shared" si="53"/>
        <v>0.9891826898839472</v>
      </c>
    </row>
    <row r="574" spans="1:69" hidden="1" x14ac:dyDescent="0.35">
      <c r="A574">
        <v>572</v>
      </c>
      <c r="B574">
        <v>2532</v>
      </c>
      <c r="D574">
        <v>36</v>
      </c>
      <c r="E574">
        <v>1</v>
      </c>
      <c r="G574">
        <v>12425.2</v>
      </c>
      <c r="I574" t="s">
        <v>62</v>
      </c>
      <c r="L574" t="s">
        <v>183</v>
      </c>
      <c r="M574">
        <v>5.99</v>
      </c>
      <c r="N574">
        <v>48.7</v>
      </c>
      <c r="O574">
        <v>5.61</v>
      </c>
      <c r="P574" s="3">
        <f t="shared" si="48"/>
        <v>0.93656093489148584</v>
      </c>
      <c r="Q574">
        <v>41</v>
      </c>
      <c r="R574" s="3">
        <f t="shared" si="49"/>
        <v>0.84188911704312108</v>
      </c>
      <c r="S574">
        <v>230</v>
      </c>
      <c r="T574">
        <v>6.056</v>
      </c>
      <c r="U574">
        <v>48.88</v>
      </c>
      <c r="V574">
        <v>5.6710000000000003</v>
      </c>
      <c r="W574" s="3">
        <f t="shared" si="50"/>
        <v>0.93642668428005282</v>
      </c>
      <c r="X574">
        <v>40.85</v>
      </c>
      <c r="Y574" s="3">
        <f t="shared" si="51"/>
        <v>0.83572013093289688</v>
      </c>
      <c r="Z574">
        <v>231.7</v>
      </c>
      <c r="AA574">
        <v>78.2</v>
      </c>
      <c r="AB574">
        <v>25</v>
      </c>
      <c r="AC574" t="s">
        <v>64</v>
      </c>
      <c r="AE574" t="s">
        <v>65</v>
      </c>
      <c r="AF574" t="s">
        <v>66</v>
      </c>
      <c r="AG574" s="2">
        <v>43593</v>
      </c>
      <c r="AH574" s="1">
        <v>0.33861111111111108</v>
      </c>
      <c r="AI574" t="s">
        <v>68</v>
      </c>
      <c r="AJ574" t="s">
        <v>69</v>
      </c>
      <c r="AO574">
        <v>4.8460000000000001</v>
      </c>
      <c r="AP574">
        <v>50.173999999999999</v>
      </c>
      <c r="AQ574">
        <v>6.4</v>
      </c>
      <c r="AR574">
        <v>1.216</v>
      </c>
      <c r="AS574">
        <v>45.195999999999998</v>
      </c>
      <c r="AT574">
        <v>25.6</v>
      </c>
      <c r="AY574">
        <v>2.36</v>
      </c>
      <c r="AZ574" s="2">
        <v>43624</v>
      </c>
      <c r="BB574" s="2">
        <v>43624</v>
      </c>
      <c r="BD574" t="s">
        <v>68</v>
      </c>
      <c r="BE574" t="s">
        <v>2463</v>
      </c>
      <c r="BF574" t="s">
        <v>2464</v>
      </c>
      <c r="BG574" t="s">
        <v>2465</v>
      </c>
      <c r="BH574">
        <v>0</v>
      </c>
      <c r="BI574">
        <v>0</v>
      </c>
      <c r="BJ574">
        <v>1</v>
      </c>
      <c r="BK574" t="s">
        <v>2466</v>
      </c>
      <c r="BL574">
        <v>8.8620000000000001</v>
      </c>
      <c r="BM574">
        <v>8.8620000000000001</v>
      </c>
      <c r="BN574" s="2">
        <v>43593</v>
      </c>
      <c r="BO574" s="1">
        <v>0.33861111111111108</v>
      </c>
      <c r="BP574" s="3">
        <f t="shared" si="52"/>
        <v>0.99985665576426319</v>
      </c>
      <c r="BQ574" s="3">
        <f t="shared" si="53"/>
        <v>0.99267244820566047</v>
      </c>
    </row>
    <row r="575" spans="1:69" hidden="1" x14ac:dyDescent="0.35">
      <c r="A575">
        <v>573</v>
      </c>
      <c r="B575">
        <v>3501</v>
      </c>
      <c r="D575">
        <v>24</v>
      </c>
      <c r="E575">
        <v>2</v>
      </c>
      <c r="G575">
        <v>16671.599999999999</v>
      </c>
      <c r="I575" t="s">
        <v>62</v>
      </c>
      <c r="L575" t="s">
        <v>2467</v>
      </c>
      <c r="M575">
        <v>11.4</v>
      </c>
      <c r="N575">
        <v>39.200000000000003</v>
      </c>
      <c r="O575">
        <v>10.8</v>
      </c>
      <c r="P575" s="3">
        <f t="shared" si="48"/>
        <v>0.94736842105263164</v>
      </c>
      <c r="Q575">
        <v>31.7</v>
      </c>
      <c r="R575" s="3">
        <f t="shared" si="49"/>
        <v>0.80867346938775497</v>
      </c>
      <c r="S575">
        <v>270</v>
      </c>
      <c r="T575">
        <v>8.9320599999999999</v>
      </c>
      <c r="U575">
        <v>38.9816</v>
      </c>
      <c r="V575">
        <v>8.4506700000000006</v>
      </c>
      <c r="W575" s="3">
        <f t="shared" si="50"/>
        <v>0.94610537770682246</v>
      </c>
      <c r="X575">
        <v>31.6313</v>
      </c>
      <c r="Y575" s="3">
        <f t="shared" si="51"/>
        <v>0.81144180844295766</v>
      </c>
      <c r="Z575">
        <v>267.30599999999998</v>
      </c>
      <c r="AA575">
        <v>76.771000000000001</v>
      </c>
      <c r="AB575">
        <v>25</v>
      </c>
      <c r="AC575" t="s">
        <v>64</v>
      </c>
      <c r="AE575" t="s">
        <v>65</v>
      </c>
      <c r="AF575" t="s">
        <v>66</v>
      </c>
      <c r="AG575" t="s">
        <v>2468</v>
      </c>
      <c r="AH575" s="1">
        <v>0.4495601851851852</v>
      </c>
      <c r="AI575" t="s">
        <v>68</v>
      </c>
      <c r="AJ575" t="s">
        <v>69</v>
      </c>
      <c r="AO575">
        <v>8.0020000000000007</v>
      </c>
      <c r="AP575">
        <v>40.265999999999998</v>
      </c>
      <c r="AQ575">
        <v>19.2</v>
      </c>
      <c r="AR575">
        <v>1.9950000000000001</v>
      </c>
      <c r="AS575">
        <v>36.25</v>
      </c>
      <c r="AT575">
        <v>76.8</v>
      </c>
      <c r="AY575">
        <v>2.6</v>
      </c>
      <c r="AZ575" t="s">
        <v>2468</v>
      </c>
      <c r="BB575" t="s">
        <v>2468</v>
      </c>
      <c r="BD575" t="s">
        <v>68</v>
      </c>
      <c r="BE575" t="s">
        <v>2469</v>
      </c>
      <c r="BF575" t="s">
        <v>2470</v>
      </c>
      <c r="BG575" t="s">
        <v>2471</v>
      </c>
      <c r="BH575">
        <v>0</v>
      </c>
      <c r="BI575">
        <v>1</v>
      </c>
      <c r="BJ575">
        <v>2</v>
      </c>
      <c r="BK575" t="s">
        <v>2472</v>
      </c>
      <c r="BN575" t="s">
        <v>294</v>
      </c>
      <c r="BO575" s="1">
        <v>0.5141782407407407</v>
      </c>
      <c r="BP575" s="3">
        <f t="shared" si="52"/>
        <v>0.99866678757942362</v>
      </c>
      <c r="BQ575" s="3">
        <f t="shared" si="53"/>
        <v>1.0034233088632158</v>
      </c>
    </row>
    <row r="576" spans="1:69" hidden="1" x14ac:dyDescent="0.35">
      <c r="A576">
        <v>574</v>
      </c>
      <c r="B576">
        <v>3395</v>
      </c>
      <c r="D576">
        <v>30</v>
      </c>
      <c r="E576">
        <v>1</v>
      </c>
      <c r="G576">
        <v>16416.900000000001</v>
      </c>
      <c r="I576" t="s">
        <v>182</v>
      </c>
      <c r="L576" t="s">
        <v>183</v>
      </c>
      <c r="P576" s="3" t="e">
        <f t="shared" si="48"/>
        <v>#DIV/0!</v>
      </c>
      <c r="R576" s="3" t="e">
        <f t="shared" si="49"/>
        <v>#DIV/0!</v>
      </c>
      <c r="T576">
        <v>8.69895</v>
      </c>
      <c r="U576">
        <v>42.802300000000002</v>
      </c>
      <c r="V576">
        <v>8.1969899999999996</v>
      </c>
      <c r="W576" s="3">
        <f t="shared" si="50"/>
        <v>0.94229648405842081</v>
      </c>
      <c r="X576">
        <v>34.398400000000002</v>
      </c>
      <c r="Y576" s="3">
        <f t="shared" si="51"/>
        <v>0.8036577473640435</v>
      </c>
      <c r="Z576">
        <v>281.96300000000002</v>
      </c>
      <c r="AA576">
        <v>75.727999999999994</v>
      </c>
      <c r="AB576">
        <v>25</v>
      </c>
      <c r="AC576" t="s">
        <v>64</v>
      </c>
      <c r="AE576" t="s">
        <v>65</v>
      </c>
      <c r="AF576" t="s">
        <v>66</v>
      </c>
      <c r="AG576" t="s">
        <v>2473</v>
      </c>
      <c r="AH576" s="1">
        <v>0.58050925925925922</v>
      </c>
      <c r="AI576" t="s">
        <v>68</v>
      </c>
      <c r="AJ576" t="s">
        <v>69</v>
      </c>
      <c r="AO576">
        <v>6.8090000000000002</v>
      </c>
      <c r="AP576">
        <v>44.918999999999997</v>
      </c>
      <c r="AQ576">
        <v>1.6</v>
      </c>
      <c r="AR576">
        <v>1.7</v>
      </c>
      <c r="AS576">
        <v>40.228000000000002</v>
      </c>
      <c r="AT576">
        <v>9.6</v>
      </c>
      <c r="AZ576" t="s">
        <v>2473</v>
      </c>
      <c r="BB576" t="s">
        <v>2473</v>
      </c>
      <c r="BD576" t="s">
        <v>68</v>
      </c>
      <c r="BE576" t="s">
        <v>2474</v>
      </c>
      <c r="BF576" t="s">
        <v>2475</v>
      </c>
      <c r="BG576" t="s">
        <v>2476</v>
      </c>
      <c r="BH576">
        <v>0</v>
      </c>
      <c r="BI576">
        <v>0</v>
      </c>
      <c r="BJ576">
        <v>1</v>
      </c>
      <c r="BK576" t="s">
        <v>2477</v>
      </c>
      <c r="BN576" t="s">
        <v>2473</v>
      </c>
      <c r="BO576" s="1">
        <v>0.57868055555555553</v>
      </c>
      <c r="BP576" t="e">
        <f t="shared" si="52"/>
        <v>#DIV/0!</v>
      </c>
      <c r="BQ576" t="e">
        <f t="shared" si="53"/>
        <v>#DIV/0!</v>
      </c>
    </row>
    <row r="577" spans="1:69" hidden="1" x14ac:dyDescent="0.35">
      <c r="A577">
        <v>575</v>
      </c>
      <c r="B577">
        <v>3394</v>
      </c>
      <c r="D577">
        <v>30</v>
      </c>
      <c r="E577">
        <v>1</v>
      </c>
      <c r="G577">
        <v>16416.900000000001</v>
      </c>
      <c r="I577" t="s">
        <v>182</v>
      </c>
      <c r="L577" t="s">
        <v>183</v>
      </c>
      <c r="P577" s="3" t="e">
        <f t="shared" si="48"/>
        <v>#DIV/0!</v>
      </c>
      <c r="R577" s="3" t="e">
        <f t="shared" si="49"/>
        <v>#DIV/0!</v>
      </c>
      <c r="T577">
        <v>8.6756399999999996</v>
      </c>
      <c r="U577">
        <v>42.791600000000003</v>
      </c>
      <c r="V577">
        <v>8.1848200000000002</v>
      </c>
      <c r="W577" s="3">
        <f t="shared" si="50"/>
        <v>0.94342549944442144</v>
      </c>
      <c r="X577">
        <v>34.194200000000002</v>
      </c>
      <c r="Y577" s="3">
        <f t="shared" si="51"/>
        <v>0.7990867366492489</v>
      </c>
      <c r="Z577">
        <v>279.87400000000002</v>
      </c>
      <c r="AA577">
        <v>75.387</v>
      </c>
      <c r="AB577">
        <v>25</v>
      </c>
      <c r="AC577" t="s">
        <v>64</v>
      </c>
      <c r="AE577" t="s">
        <v>65</v>
      </c>
      <c r="AF577" t="s">
        <v>66</v>
      </c>
      <c r="AG577" t="s">
        <v>2473</v>
      </c>
      <c r="AH577" s="1">
        <v>0.53717592592592589</v>
      </c>
      <c r="AI577" t="s">
        <v>68</v>
      </c>
      <c r="AJ577" t="s">
        <v>69</v>
      </c>
      <c r="AO577">
        <v>6.8090000000000002</v>
      </c>
      <c r="AP577">
        <v>44.844000000000001</v>
      </c>
      <c r="AQ577">
        <v>1.6</v>
      </c>
      <c r="AR577">
        <v>1.7</v>
      </c>
      <c r="AS577">
        <v>39.965000000000003</v>
      </c>
      <c r="AT577">
        <v>9.6</v>
      </c>
      <c r="AZ577" t="s">
        <v>2473</v>
      </c>
      <c r="BB577" t="s">
        <v>2473</v>
      </c>
      <c r="BD577" t="s">
        <v>68</v>
      </c>
      <c r="BE577" t="s">
        <v>2478</v>
      </c>
      <c r="BF577" t="s">
        <v>2479</v>
      </c>
      <c r="BG577" t="s">
        <v>2480</v>
      </c>
      <c r="BH577">
        <v>0</v>
      </c>
      <c r="BI577">
        <v>0</v>
      </c>
      <c r="BJ577">
        <v>1</v>
      </c>
      <c r="BK577" t="s">
        <v>2481</v>
      </c>
      <c r="BN577" t="s">
        <v>2473</v>
      </c>
      <c r="BO577" s="1">
        <v>0.5352662037037037</v>
      </c>
      <c r="BP577" t="e">
        <f t="shared" si="52"/>
        <v>#DIV/0!</v>
      </c>
      <c r="BQ577" t="e">
        <f t="shared" si="53"/>
        <v>#DIV/0!</v>
      </c>
    </row>
    <row r="578" spans="1:69" hidden="1" x14ac:dyDescent="0.35">
      <c r="A578">
        <v>576</v>
      </c>
      <c r="B578">
        <v>3411</v>
      </c>
      <c r="D578">
        <v>30</v>
      </c>
      <c r="E578">
        <v>1</v>
      </c>
      <c r="G578">
        <v>16416.900000000001</v>
      </c>
      <c r="I578" t="s">
        <v>182</v>
      </c>
      <c r="L578" t="s">
        <v>183</v>
      </c>
      <c r="P578" s="3" t="e">
        <f t="shared" si="48"/>
        <v>#DIV/0!</v>
      </c>
      <c r="R578" s="3" t="e">
        <f t="shared" si="49"/>
        <v>#DIV/0!</v>
      </c>
      <c r="T578">
        <v>8.6855100000000007</v>
      </c>
      <c r="U578">
        <v>42.752000000000002</v>
      </c>
      <c r="V578">
        <v>8.1829000000000001</v>
      </c>
      <c r="W578" s="3">
        <f t="shared" si="50"/>
        <v>0.94213235607350632</v>
      </c>
      <c r="X578">
        <v>34.292999999999999</v>
      </c>
      <c r="Y578" s="3">
        <f t="shared" si="51"/>
        <v>0.80213791167664661</v>
      </c>
      <c r="Z578">
        <v>280.61599999999999</v>
      </c>
      <c r="AA578">
        <v>75.572000000000003</v>
      </c>
      <c r="AB578">
        <v>25</v>
      </c>
      <c r="AC578" t="s">
        <v>64</v>
      </c>
      <c r="AE578" t="s">
        <v>65</v>
      </c>
      <c r="AF578" t="s">
        <v>66</v>
      </c>
      <c r="AG578" t="s">
        <v>2473</v>
      </c>
      <c r="AH578" s="1">
        <v>0.60755787037037035</v>
      </c>
      <c r="AI578" t="s">
        <v>68</v>
      </c>
      <c r="AJ578" t="s">
        <v>69</v>
      </c>
      <c r="AO578">
        <v>6.8090000000000002</v>
      </c>
      <c r="AP578">
        <v>44.844000000000001</v>
      </c>
      <c r="AQ578">
        <v>1.6</v>
      </c>
      <c r="AR578">
        <v>1.7</v>
      </c>
      <c r="AS578">
        <v>40.115000000000002</v>
      </c>
      <c r="AT578">
        <v>9.6</v>
      </c>
      <c r="AZ578" t="s">
        <v>2473</v>
      </c>
      <c r="BB578" t="s">
        <v>2473</v>
      </c>
      <c r="BD578" t="s">
        <v>68</v>
      </c>
      <c r="BE578" t="s">
        <v>2482</v>
      </c>
      <c r="BF578" t="s">
        <v>2483</v>
      </c>
      <c r="BG578" t="s">
        <v>2484</v>
      </c>
      <c r="BH578">
        <v>0</v>
      </c>
      <c r="BI578">
        <v>0</v>
      </c>
      <c r="BJ578">
        <v>1</v>
      </c>
      <c r="BK578" t="s">
        <v>2485</v>
      </c>
      <c r="BN578" t="s">
        <v>2473</v>
      </c>
      <c r="BO578" s="1">
        <v>0.60523148148148154</v>
      </c>
      <c r="BP578" t="e">
        <f t="shared" si="52"/>
        <v>#DIV/0!</v>
      </c>
      <c r="BQ578" t="e">
        <f t="shared" si="53"/>
        <v>#DIV/0!</v>
      </c>
    </row>
    <row r="579" spans="1:69" hidden="1" x14ac:dyDescent="0.35">
      <c r="A579">
        <v>577</v>
      </c>
      <c r="B579">
        <v>3396</v>
      </c>
      <c r="D579">
        <v>30</v>
      </c>
      <c r="E579">
        <v>1</v>
      </c>
      <c r="G579">
        <v>16416.900000000001</v>
      </c>
      <c r="I579" t="s">
        <v>182</v>
      </c>
      <c r="L579" t="s">
        <v>183</v>
      </c>
      <c r="P579" s="3" t="e">
        <f t="shared" ref="P579:P617" si="54">O579/M579</f>
        <v>#DIV/0!</v>
      </c>
      <c r="R579" s="3" t="e">
        <f t="shared" ref="R579:R617" si="55">Q579/N579</f>
        <v>#DIV/0!</v>
      </c>
      <c r="T579">
        <v>8.5802600000000009</v>
      </c>
      <c r="U579">
        <v>42.530099999999997</v>
      </c>
      <c r="V579">
        <v>8.0935199999999998</v>
      </c>
      <c r="W579" s="3">
        <f t="shared" ref="W579:W617" si="56">V579/T579</f>
        <v>0.94327211529720534</v>
      </c>
      <c r="X579">
        <v>34.075200000000002</v>
      </c>
      <c r="Y579" s="3">
        <f t="shared" ref="Y579:Y617" si="57">X579/U579</f>
        <v>0.8012019722502417</v>
      </c>
      <c r="Z579">
        <v>275.78899999999999</v>
      </c>
      <c r="AA579">
        <v>75.575000000000003</v>
      </c>
      <c r="AB579">
        <v>25</v>
      </c>
      <c r="AC579" t="s">
        <v>64</v>
      </c>
      <c r="AE579" t="s">
        <v>65</v>
      </c>
      <c r="AF579" t="s">
        <v>66</v>
      </c>
      <c r="AG579" s="2">
        <v>42464</v>
      </c>
      <c r="AH579" s="1">
        <v>0.6100578703703704</v>
      </c>
      <c r="AI579" t="s">
        <v>68</v>
      </c>
      <c r="AJ579" t="s">
        <v>69</v>
      </c>
      <c r="AO579">
        <v>6.8040000000000003</v>
      </c>
      <c r="AP579">
        <v>44.018999999999998</v>
      </c>
      <c r="AQ579">
        <v>1.6</v>
      </c>
      <c r="AR579">
        <v>1.7</v>
      </c>
      <c r="AS579">
        <v>39.326999999999998</v>
      </c>
      <c r="AT579">
        <v>9.6</v>
      </c>
      <c r="AZ579" s="2">
        <v>42464</v>
      </c>
      <c r="BB579" s="2">
        <v>42464</v>
      </c>
      <c r="BD579" t="s">
        <v>68</v>
      </c>
      <c r="BE579" t="s">
        <v>2486</v>
      </c>
      <c r="BF579" t="s">
        <v>2487</v>
      </c>
      <c r="BG579" t="s">
        <v>2488</v>
      </c>
      <c r="BH579">
        <v>0</v>
      </c>
      <c r="BI579">
        <v>0</v>
      </c>
      <c r="BJ579">
        <v>1</v>
      </c>
      <c r="BK579" t="s">
        <v>2489</v>
      </c>
      <c r="BN579" s="2">
        <v>42464</v>
      </c>
      <c r="BO579" s="1">
        <v>0.6080092592592593</v>
      </c>
      <c r="BP579" t="e">
        <f t="shared" ref="BP579:BP617" si="58">W579/P579</f>
        <v>#DIV/0!</v>
      </c>
      <c r="BQ579" t="e">
        <f t="shared" ref="BQ579:BQ617" si="59">Y579/R579</f>
        <v>#DIV/0!</v>
      </c>
    </row>
    <row r="580" spans="1:69" hidden="1" x14ac:dyDescent="0.35">
      <c r="A580">
        <v>578</v>
      </c>
      <c r="B580">
        <v>3199</v>
      </c>
      <c r="D580">
        <v>30</v>
      </c>
      <c r="E580">
        <v>4</v>
      </c>
      <c r="G580">
        <v>16252.4</v>
      </c>
      <c r="I580" t="s">
        <v>182</v>
      </c>
      <c r="L580" t="s">
        <v>183</v>
      </c>
      <c r="P580" s="3" t="e">
        <f t="shared" si="54"/>
        <v>#DIV/0!</v>
      </c>
      <c r="R580" s="3" t="e">
        <f t="shared" si="55"/>
        <v>#DIV/0!</v>
      </c>
      <c r="T580">
        <v>8.8024100000000001</v>
      </c>
      <c r="U580">
        <v>42.693199999999997</v>
      </c>
      <c r="V580">
        <v>8.2170100000000001</v>
      </c>
      <c r="W580" s="3">
        <f t="shared" si="56"/>
        <v>0.93349548589534004</v>
      </c>
      <c r="X580">
        <v>34.325800000000001</v>
      </c>
      <c r="Y580" s="3">
        <f t="shared" si="57"/>
        <v>0.8040109431947009</v>
      </c>
      <c r="Z580">
        <v>282.05599999999998</v>
      </c>
      <c r="AA580">
        <v>75.054000000000002</v>
      </c>
      <c r="AB580">
        <v>25</v>
      </c>
      <c r="AC580" t="s">
        <v>64</v>
      </c>
      <c r="AE580" t="s">
        <v>65</v>
      </c>
      <c r="AF580" t="s">
        <v>66</v>
      </c>
      <c r="AG580" t="s">
        <v>2490</v>
      </c>
      <c r="AH580" s="1">
        <v>0.68868055555555552</v>
      </c>
      <c r="AI580" t="s">
        <v>68</v>
      </c>
      <c r="AJ580" t="s">
        <v>69</v>
      </c>
      <c r="AO580">
        <v>8.85</v>
      </c>
      <c r="AP580">
        <v>46.15</v>
      </c>
      <c r="AQ580">
        <v>1.2</v>
      </c>
      <c r="AR580">
        <v>2.21</v>
      </c>
      <c r="AS580">
        <v>41.24</v>
      </c>
      <c r="AT580">
        <v>6.4</v>
      </c>
      <c r="AZ580" t="s">
        <v>2491</v>
      </c>
      <c r="BB580" t="s">
        <v>2491</v>
      </c>
      <c r="BD580" t="s">
        <v>68</v>
      </c>
      <c r="BE580" t="s">
        <v>2492</v>
      </c>
      <c r="BF580" t="s">
        <v>2493</v>
      </c>
      <c r="BG580" t="s">
        <v>2494</v>
      </c>
      <c r="BH580">
        <v>0</v>
      </c>
      <c r="BI580">
        <v>0</v>
      </c>
      <c r="BJ580">
        <v>1</v>
      </c>
      <c r="BK580" t="s">
        <v>2495</v>
      </c>
      <c r="BN580" t="s">
        <v>2490</v>
      </c>
      <c r="BO580" s="1">
        <v>0.68868055555555552</v>
      </c>
      <c r="BP580" t="e">
        <f t="shared" si="58"/>
        <v>#DIV/0!</v>
      </c>
      <c r="BQ580" t="e">
        <f t="shared" si="59"/>
        <v>#DIV/0!</v>
      </c>
    </row>
    <row r="581" spans="1:69" hidden="1" x14ac:dyDescent="0.35">
      <c r="A581">
        <v>579</v>
      </c>
      <c r="B581">
        <v>3197</v>
      </c>
      <c r="D581">
        <v>30</v>
      </c>
      <c r="E581">
        <v>4</v>
      </c>
      <c r="G581">
        <v>16252.4</v>
      </c>
      <c r="I581" t="s">
        <v>182</v>
      </c>
      <c r="L581" t="s">
        <v>183</v>
      </c>
      <c r="P581" s="3" t="e">
        <f t="shared" si="54"/>
        <v>#DIV/0!</v>
      </c>
      <c r="R581" s="3" t="e">
        <f t="shared" si="55"/>
        <v>#DIV/0!</v>
      </c>
      <c r="T581">
        <v>8.7841299999999993</v>
      </c>
      <c r="U581">
        <v>42.649099999999997</v>
      </c>
      <c r="V581">
        <v>8.2280700000000007</v>
      </c>
      <c r="W581" s="3">
        <f t="shared" si="56"/>
        <v>0.93669720279640689</v>
      </c>
      <c r="X581">
        <v>34.215000000000003</v>
      </c>
      <c r="Y581" s="3">
        <f t="shared" si="57"/>
        <v>0.80224436154573031</v>
      </c>
      <c r="Z581">
        <v>281.52300000000002</v>
      </c>
      <c r="AA581">
        <v>75.146000000000001</v>
      </c>
      <c r="AB581">
        <v>25</v>
      </c>
      <c r="AC581" t="s">
        <v>64</v>
      </c>
      <c r="AE581" t="s">
        <v>65</v>
      </c>
      <c r="AF581" t="s">
        <v>66</v>
      </c>
      <c r="AG581" t="s">
        <v>2490</v>
      </c>
      <c r="AH581" s="1">
        <v>0.67944444444444441</v>
      </c>
      <c r="AI581" t="s">
        <v>68</v>
      </c>
      <c r="AJ581" t="s">
        <v>69</v>
      </c>
      <c r="AO581">
        <v>8.9009999999999998</v>
      </c>
      <c r="AP581">
        <v>46.16</v>
      </c>
      <c r="AQ581">
        <v>1.2</v>
      </c>
      <c r="AR581">
        <v>2.21</v>
      </c>
      <c r="AS581">
        <v>41.24</v>
      </c>
      <c r="AT581">
        <v>6.4</v>
      </c>
      <c r="AZ581" t="s">
        <v>2491</v>
      </c>
      <c r="BB581" t="s">
        <v>2491</v>
      </c>
      <c r="BD581" t="s">
        <v>68</v>
      </c>
      <c r="BE581" t="s">
        <v>2496</v>
      </c>
      <c r="BF581" t="s">
        <v>2497</v>
      </c>
      <c r="BG581" t="s">
        <v>2498</v>
      </c>
      <c r="BH581">
        <v>0</v>
      </c>
      <c r="BI581">
        <v>0</v>
      </c>
      <c r="BJ581">
        <v>1</v>
      </c>
      <c r="BK581" t="s">
        <v>2499</v>
      </c>
      <c r="BN581" t="s">
        <v>2490</v>
      </c>
      <c r="BO581" s="1">
        <v>0.67944444444444441</v>
      </c>
      <c r="BP581" t="e">
        <f t="shared" si="58"/>
        <v>#DIV/0!</v>
      </c>
      <c r="BQ581" t="e">
        <f t="shared" si="59"/>
        <v>#DIV/0!</v>
      </c>
    </row>
    <row r="582" spans="1:69" hidden="1" x14ac:dyDescent="0.35">
      <c r="A582">
        <v>580</v>
      </c>
      <c r="B582">
        <v>3201</v>
      </c>
      <c r="D582">
        <v>30</v>
      </c>
      <c r="E582">
        <v>4</v>
      </c>
      <c r="G582">
        <v>16252.4</v>
      </c>
      <c r="I582" t="s">
        <v>182</v>
      </c>
      <c r="L582" t="s">
        <v>183</v>
      </c>
      <c r="P582" s="3" t="e">
        <f t="shared" si="54"/>
        <v>#DIV/0!</v>
      </c>
      <c r="R582" s="3" t="e">
        <f t="shared" si="55"/>
        <v>#DIV/0!</v>
      </c>
      <c r="T582">
        <v>8.7217099999999999</v>
      </c>
      <c r="U582">
        <v>42.529499999999999</v>
      </c>
      <c r="V582">
        <v>8.2119</v>
      </c>
      <c r="W582" s="3">
        <f t="shared" si="56"/>
        <v>0.94154701314306488</v>
      </c>
      <c r="X582">
        <v>33.9846</v>
      </c>
      <c r="Y582" s="3">
        <f t="shared" si="57"/>
        <v>0.79908298945437872</v>
      </c>
      <c r="Z582">
        <v>279.07799999999997</v>
      </c>
      <c r="AA582">
        <v>75.236999999999995</v>
      </c>
      <c r="AB582">
        <v>25</v>
      </c>
      <c r="AC582" t="s">
        <v>64</v>
      </c>
      <c r="AE582" t="s">
        <v>65</v>
      </c>
      <c r="AF582" t="s">
        <v>66</v>
      </c>
      <c r="AG582" t="s">
        <v>2490</v>
      </c>
      <c r="AH582" s="1">
        <v>0.69542824074074072</v>
      </c>
      <c r="AI582" t="s">
        <v>68</v>
      </c>
      <c r="AJ582" t="s">
        <v>69</v>
      </c>
      <c r="AO582">
        <v>8.86</v>
      </c>
      <c r="AP582">
        <v>45.75</v>
      </c>
      <c r="AQ582">
        <v>1.25</v>
      </c>
      <c r="AR582">
        <v>2.21</v>
      </c>
      <c r="AS582">
        <v>40.83</v>
      </c>
      <c r="AT582">
        <v>6.4</v>
      </c>
      <c r="AZ582" t="s">
        <v>2491</v>
      </c>
      <c r="BB582" t="s">
        <v>2491</v>
      </c>
      <c r="BD582" t="s">
        <v>68</v>
      </c>
      <c r="BE582" t="s">
        <v>2500</v>
      </c>
      <c r="BF582" t="s">
        <v>2501</v>
      </c>
      <c r="BG582" t="s">
        <v>2502</v>
      </c>
      <c r="BH582">
        <v>0</v>
      </c>
      <c r="BI582">
        <v>0</v>
      </c>
      <c r="BJ582">
        <v>1</v>
      </c>
      <c r="BK582" t="s">
        <v>2503</v>
      </c>
      <c r="BN582" t="s">
        <v>2490</v>
      </c>
      <c r="BO582" s="1">
        <v>0.69542824074074072</v>
      </c>
      <c r="BP582" t="e">
        <f t="shared" si="58"/>
        <v>#DIV/0!</v>
      </c>
      <c r="BQ582" t="e">
        <f t="shared" si="59"/>
        <v>#DIV/0!</v>
      </c>
    </row>
    <row r="583" spans="1:69" hidden="1" x14ac:dyDescent="0.35">
      <c r="A583">
        <v>581</v>
      </c>
      <c r="B583">
        <v>3160</v>
      </c>
      <c r="D583">
        <v>30</v>
      </c>
      <c r="E583">
        <v>4</v>
      </c>
      <c r="G583">
        <v>16252.4</v>
      </c>
      <c r="I583" t="s">
        <v>182</v>
      </c>
      <c r="L583" t="s">
        <v>183</v>
      </c>
      <c r="P583" s="3" t="e">
        <f t="shared" si="54"/>
        <v>#DIV/0!</v>
      </c>
      <c r="R583" s="3" t="e">
        <f t="shared" si="55"/>
        <v>#DIV/0!</v>
      </c>
      <c r="T583">
        <v>8.7391900000000007</v>
      </c>
      <c r="U583">
        <v>42.611499999999999</v>
      </c>
      <c r="V583">
        <v>8.2199500000000008</v>
      </c>
      <c r="W583" s="3">
        <f t="shared" si="56"/>
        <v>0.94058488258065109</v>
      </c>
      <c r="X583">
        <v>34.088500000000003</v>
      </c>
      <c r="Y583" s="3">
        <f t="shared" si="57"/>
        <v>0.79998357250976859</v>
      </c>
      <c r="Z583">
        <v>280.20600000000002</v>
      </c>
      <c r="AA583">
        <v>75.245000000000005</v>
      </c>
      <c r="AB583">
        <v>25</v>
      </c>
      <c r="AC583" t="s">
        <v>64</v>
      </c>
      <c r="AE583" t="s">
        <v>65</v>
      </c>
      <c r="AF583" t="s">
        <v>66</v>
      </c>
      <c r="AG583" t="s">
        <v>2504</v>
      </c>
      <c r="AH583" s="1">
        <v>0.63225694444444447</v>
      </c>
      <c r="AI583" t="s">
        <v>68</v>
      </c>
      <c r="AJ583" t="s">
        <v>69</v>
      </c>
      <c r="AO583">
        <v>8.86</v>
      </c>
      <c r="AP583">
        <v>46</v>
      </c>
      <c r="AQ583">
        <v>1.25</v>
      </c>
      <c r="AR583">
        <v>2.23</v>
      </c>
      <c r="AS583">
        <v>41.05</v>
      </c>
      <c r="AT583">
        <v>6.4</v>
      </c>
      <c r="AZ583" t="s">
        <v>2505</v>
      </c>
      <c r="BB583" t="s">
        <v>2505</v>
      </c>
      <c r="BD583" t="s">
        <v>68</v>
      </c>
      <c r="BE583" t="s">
        <v>2506</v>
      </c>
      <c r="BF583" t="s">
        <v>2507</v>
      </c>
      <c r="BG583" t="s">
        <v>2508</v>
      </c>
      <c r="BH583">
        <v>0</v>
      </c>
      <c r="BI583">
        <v>0</v>
      </c>
      <c r="BJ583">
        <v>1</v>
      </c>
      <c r="BK583" t="s">
        <v>2509</v>
      </c>
      <c r="BN583" t="s">
        <v>2504</v>
      </c>
      <c r="BO583" s="1">
        <v>0.63225694444444447</v>
      </c>
      <c r="BP583" t="e">
        <f t="shared" si="58"/>
        <v>#DIV/0!</v>
      </c>
      <c r="BQ583" t="e">
        <f t="shared" si="59"/>
        <v>#DIV/0!</v>
      </c>
    </row>
    <row r="584" spans="1:69" hidden="1" x14ac:dyDescent="0.35">
      <c r="A584">
        <v>582</v>
      </c>
      <c r="B584">
        <v>3159</v>
      </c>
      <c r="D584">
        <v>30</v>
      </c>
      <c r="E584">
        <v>4</v>
      </c>
      <c r="G584">
        <v>16252.4</v>
      </c>
      <c r="I584" t="s">
        <v>182</v>
      </c>
      <c r="L584" t="s">
        <v>183</v>
      </c>
      <c r="P584" s="3" t="e">
        <f t="shared" si="54"/>
        <v>#DIV/0!</v>
      </c>
      <c r="R584" s="3" t="e">
        <f t="shared" si="55"/>
        <v>#DIV/0!</v>
      </c>
      <c r="T584">
        <v>8.7619900000000008</v>
      </c>
      <c r="U584">
        <v>42.6235</v>
      </c>
      <c r="V584">
        <v>8.2384599999999999</v>
      </c>
      <c r="W584" s="3">
        <f t="shared" si="56"/>
        <v>0.94024987474306621</v>
      </c>
      <c r="X584">
        <v>34.058999999999997</v>
      </c>
      <c r="Y584" s="3">
        <f t="shared" si="57"/>
        <v>0.79906624280033312</v>
      </c>
      <c r="Z584">
        <v>280.59399999999999</v>
      </c>
      <c r="AA584">
        <v>75.132000000000005</v>
      </c>
      <c r="AB584">
        <v>25</v>
      </c>
      <c r="AC584" t="s">
        <v>64</v>
      </c>
      <c r="AE584" t="s">
        <v>65</v>
      </c>
      <c r="AF584" t="s">
        <v>66</v>
      </c>
      <c r="AG584" t="s">
        <v>2504</v>
      </c>
      <c r="AH584" s="1">
        <v>0.62739583333333337</v>
      </c>
      <c r="AI584" t="s">
        <v>68</v>
      </c>
      <c r="AJ584" t="s">
        <v>69</v>
      </c>
      <c r="AO584">
        <v>8.9359999999999999</v>
      </c>
      <c r="AP584">
        <v>45.93</v>
      </c>
      <c r="AQ584">
        <v>1.25</v>
      </c>
      <c r="AR584">
        <v>2.23</v>
      </c>
      <c r="AS584">
        <v>41.05</v>
      </c>
      <c r="AT584">
        <v>6.4</v>
      </c>
      <c r="AZ584" t="s">
        <v>2505</v>
      </c>
      <c r="BB584" t="s">
        <v>2505</v>
      </c>
      <c r="BD584" t="s">
        <v>68</v>
      </c>
      <c r="BE584" t="s">
        <v>2510</v>
      </c>
      <c r="BF584" t="s">
        <v>2511</v>
      </c>
      <c r="BG584" t="s">
        <v>2512</v>
      </c>
      <c r="BH584">
        <v>0</v>
      </c>
      <c r="BI584">
        <v>0</v>
      </c>
      <c r="BJ584">
        <v>1</v>
      </c>
      <c r="BK584" t="s">
        <v>2513</v>
      </c>
      <c r="BN584" t="s">
        <v>2504</v>
      </c>
      <c r="BO584" s="1">
        <v>0.62739583333333337</v>
      </c>
      <c r="BP584" t="e">
        <f t="shared" si="58"/>
        <v>#DIV/0!</v>
      </c>
      <c r="BQ584" t="e">
        <f t="shared" si="59"/>
        <v>#DIV/0!</v>
      </c>
    </row>
    <row r="585" spans="1:69" hidden="1" x14ac:dyDescent="0.35">
      <c r="A585">
        <v>583</v>
      </c>
      <c r="B585">
        <v>3195</v>
      </c>
      <c r="D585">
        <v>30</v>
      </c>
      <c r="E585">
        <v>4</v>
      </c>
      <c r="G585">
        <v>16252.4</v>
      </c>
      <c r="I585" t="s">
        <v>182</v>
      </c>
      <c r="L585" t="s">
        <v>183</v>
      </c>
      <c r="P585" s="3" t="e">
        <f t="shared" si="54"/>
        <v>#DIV/0!</v>
      </c>
      <c r="R585" s="3" t="e">
        <f t="shared" si="55"/>
        <v>#DIV/0!</v>
      </c>
      <c r="T585">
        <v>8.7077299999999997</v>
      </c>
      <c r="U585">
        <v>42.559800000000003</v>
      </c>
      <c r="V585">
        <v>8.2108100000000004</v>
      </c>
      <c r="W585" s="3">
        <f t="shared" si="56"/>
        <v>0.94293346256716737</v>
      </c>
      <c r="X585">
        <v>34.098700000000001</v>
      </c>
      <c r="Y585" s="3">
        <f t="shared" si="57"/>
        <v>0.80119502441270862</v>
      </c>
      <c r="Z585">
        <v>279.97800000000001</v>
      </c>
      <c r="AA585">
        <v>75.546999999999997</v>
      </c>
      <c r="AB585">
        <v>25</v>
      </c>
      <c r="AC585" t="s">
        <v>64</v>
      </c>
      <c r="AE585" t="s">
        <v>65</v>
      </c>
      <c r="AF585" t="s">
        <v>66</v>
      </c>
      <c r="AG585" t="s">
        <v>2490</v>
      </c>
      <c r="AH585" s="1">
        <v>0.66818287037037039</v>
      </c>
      <c r="AI585" t="s">
        <v>68</v>
      </c>
      <c r="AJ585" t="s">
        <v>69</v>
      </c>
      <c r="AO585">
        <v>8.89</v>
      </c>
      <c r="AP585">
        <v>46.04</v>
      </c>
      <c r="AQ585">
        <v>1.25</v>
      </c>
      <c r="AR585">
        <v>2.21</v>
      </c>
      <c r="AS585">
        <v>41.05</v>
      </c>
      <c r="AT585">
        <v>6.4</v>
      </c>
      <c r="AZ585" t="s">
        <v>2491</v>
      </c>
      <c r="BB585" t="s">
        <v>2491</v>
      </c>
      <c r="BD585" t="s">
        <v>68</v>
      </c>
      <c r="BE585" t="s">
        <v>2514</v>
      </c>
      <c r="BF585" t="s">
        <v>2515</v>
      </c>
      <c r="BG585" t="s">
        <v>2516</v>
      </c>
      <c r="BH585">
        <v>0</v>
      </c>
      <c r="BI585">
        <v>0</v>
      </c>
      <c r="BJ585">
        <v>1</v>
      </c>
      <c r="BK585" t="s">
        <v>2517</v>
      </c>
      <c r="BN585" t="s">
        <v>2490</v>
      </c>
      <c r="BO585" s="1">
        <v>0.66818287037037039</v>
      </c>
      <c r="BP585" t="e">
        <f t="shared" si="58"/>
        <v>#DIV/0!</v>
      </c>
      <c r="BQ585" t="e">
        <f t="shared" si="59"/>
        <v>#DIV/0!</v>
      </c>
    </row>
    <row r="586" spans="1:69" hidden="1" x14ac:dyDescent="0.35">
      <c r="A586">
        <v>584</v>
      </c>
      <c r="B586">
        <v>3188</v>
      </c>
      <c r="D586">
        <v>38</v>
      </c>
      <c r="E586">
        <v>2</v>
      </c>
      <c r="G586">
        <v>16368</v>
      </c>
      <c r="I586" t="s">
        <v>182</v>
      </c>
      <c r="L586" t="s">
        <v>183</v>
      </c>
      <c r="M586">
        <v>8.6199999999999992</v>
      </c>
      <c r="N586">
        <v>37.700000000000003</v>
      </c>
      <c r="O586">
        <v>8.1199999999999992</v>
      </c>
      <c r="P586" s="3">
        <f t="shared" si="54"/>
        <v>0.94199535962877035</v>
      </c>
      <c r="Q586">
        <v>31.4</v>
      </c>
      <c r="R586" s="3">
        <f t="shared" si="55"/>
        <v>0.83289124668435</v>
      </c>
      <c r="S586">
        <v>255</v>
      </c>
      <c r="T586">
        <v>8.9055300000000006</v>
      </c>
      <c r="U586">
        <v>38.022300000000001</v>
      </c>
      <c r="V586">
        <v>8.4327500000000004</v>
      </c>
      <c r="W586" s="3">
        <f t="shared" si="56"/>
        <v>0.94691163804961631</v>
      </c>
      <c r="X586">
        <v>30.815100000000001</v>
      </c>
      <c r="Y586" s="3">
        <f t="shared" si="57"/>
        <v>0.81044807915354933</v>
      </c>
      <c r="Z586">
        <v>259.85599999999999</v>
      </c>
      <c r="AA586">
        <v>76.742000000000004</v>
      </c>
      <c r="AB586">
        <v>25</v>
      </c>
      <c r="AC586" t="s">
        <v>64</v>
      </c>
      <c r="AE586" t="s">
        <v>65</v>
      </c>
      <c r="AF586" t="s">
        <v>66</v>
      </c>
      <c r="AG586" t="s">
        <v>2490</v>
      </c>
      <c r="AH586" s="1">
        <v>0.63553240740740746</v>
      </c>
      <c r="AI586" t="s">
        <v>68</v>
      </c>
      <c r="AJ586" t="s">
        <v>69</v>
      </c>
      <c r="AO586">
        <v>8.9359999999999999</v>
      </c>
      <c r="AP586">
        <v>40.527999999999999</v>
      </c>
      <c r="AQ586">
        <v>38.4</v>
      </c>
      <c r="AR586">
        <v>2.23</v>
      </c>
      <c r="AS586">
        <v>36.549999999999997</v>
      </c>
      <c r="AT586">
        <v>153.6</v>
      </c>
      <c r="AZ586" t="s">
        <v>2491</v>
      </c>
      <c r="BB586" t="s">
        <v>2491</v>
      </c>
      <c r="BD586" t="s">
        <v>68</v>
      </c>
      <c r="BE586" t="s">
        <v>2518</v>
      </c>
      <c r="BF586" t="s">
        <v>2519</v>
      </c>
      <c r="BG586" t="s">
        <v>2520</v>
      </c>
      <c r="BH586">
        <v>0</v>
      </c>
      <c r="BI586">
        <v>0</v>
      </c>
      <c r="BJ586">
        <v>1</v>
      </c>
      <c r="BK586" t="s">
        <v>2521</v>
      </c>
      <c r="BN586" t="s">
        <v>2490</v>
      </c>
      <c r="BO586" s="1">
        <v>0.63553240740740746</v>
      </c>
      <c r="BP586" s="3">
        <f t="shared" si="58"/>
        <v>1.0052190049245926</v>
      </c>
      <c r="BQ586" s="3">
        <f t="shared" si="59"/>
        <v>0.97305390395187308</v>
      </c>
    </row>
    <row r="587" spans="1:69" hidden="1" x14ac:dyDescent="0.35">
      <c r="A587">
        <v>585</v>
      </c>
      <c r="B587">
        <v>3189</v>
      </c>
      <c r="D587">
        <v>38</v>
      </c>
      <c r="E587">
        <v>2</v>
      </c>
      <c r="G587">
        <v>16368</v>
      </c>
      <c r="I587" t="s">
        <v>182</v>
      </c>
      <c r="L587" t="s">
        <v>183</v>
      </c>
      <c r="M587">
        <v>8.6199999999999992</v>
      </c>
      <c r="N587">
        <v>37.700000000000003</v>
      </c>
      <c r="O587">
        <v>8.1199999999999992</v>
      </c>
      <c r="P587" s="3">
        <f t="shared" si="54"/>
        <v>0.94199535962877035</v>
      </c>
      <c r="Q587">
        <v>31.4</v>
      </c>
      <c r="R587" s="3">
        <f t="shared" si="55"/>
        <v>0.83289124668435</v>
      </c>
      <c r="S587">
        <v>255</v>
      </c>
      <c r="T587">
        <v>8.8687500000000004</v>
      </c>
      <c r="U587">
        <v>37.820999999999998</v>
      </c>
      <c r="V587">
        <v>8.4133899999999997</v>
      </c>
      <c r="W587" s="3">
        <f t="shared" si="56"/>
        <v>0.94865567300916132</v>
      </c>
      <c r="X587">
        <v>30.785599999999999</v>
      </c>
      <c r="Y587" s="3">
        <f t="shared" si="57"/>
        <v>0.81398165040585924</v>
      </c>
      <c r="Z587">
        <v>259.01100000000002</v>
      </c>
      <c r="AA587">
        <v>77.218000000000004</v>
      </c>
      <c r="AB587">
        <v>25</v>
      </c>
      <c r="AC587" t="s">
        <v>64</v>
      </c>
      <c r="AE587" t="s">
        <v>65</v>
      </c>
      <c r="AF587" t="s">
        <v>66</v>
      </c>
      <c r="AG587" t="s">
        <v>2490</v>
      </c>
      <c r="AH587" s="1">
        <v>0.63920138888888889</v>
      </c>
      <c r="AI587" t="s">
        <v>68</v>
      </c>
      <c r="AJ587" t="s">
        <v>69</v>
      </c>
      <c r="AO587">
        <v>8.9359999999999999</v>
      </c>
      <c r="AP587">
        <v>40.302999999999997</v>
      </c>
      <c r="AQ587">
        <v>38.4</v>
      </c>
      <c r="AR587">
        <v>2.23</v>
      </c>
      <c r="AS587">
        <v>36.299999999999997</v>
      </c>
      <c r="AT587">
        <v>153.6</v>
      </c>
      <c r="AZ587" t="s">
        <v>2491</v>
      </c>
      <c r="BB587" t="s">
        <v>2491</v>
      </c>
      <c r="BD587" t="s">
        <v>68</v>
      </c>
      <c r="BE587" t="s">
        <v>2522</v>
      </c>
      <c r="BF587" t="s">
        <v>2523</v>
      </c>
      <c r="BG587" t="s">
        <v>2524</v>
      </c>
      <c r="BH587">
        <v>0</v>
      </c>
      <c r="BI587">
        <v>0</v>
      </c>
      <c r="BJ587">
        <v>1</v>
      </c>
      <c r="BK587" t="s">
        <v>2525</v>
      </c>
      <c r="BN587" t="s">
        <v>2490</v>
      </c>
      <c r="BO587" s="1">
        <v>0.63920138888888889</v>
      </c>
      <c r="BP587" s="3">
        <f t="shared" si="58"/>
        <v>1.0070704311993806</v>
      </c>
      <c r="BQ587" s="3">
        <f t="shared" si="59"/>
        <v>0.97729644013697126</v>
      </c>
    </row>
    <row r="588" spans="1:69" hidden="1" x14ac:dyDescent="0.35">
      <c r="A588">
        <v>586</v>
      </c>
      <c r="B588">
        <v>3186</v>
      </c>
      <c r="D588">
        <v>38</v>
      </c>
      <c r="E588">
        <v>2</v>
      </c>
      <c r="G588">
        <v>16368</v>
      </c>
      <c r="I588" t="s">
        <v>182</v>
      </c>
      <c r="L588" t="s">
        <v>183</v>
      </c>
      <c r="M588">
        <v>8.6199999999999992</v>
      </c>
      <c r="N588">
        <v>37.700000000000003</v>
      </c>
      <c r="O588">
        <v>8.1199999999999992</v>
      </c>
      <c r="P588" s="3">
        <f t="shared" si="54"/>
        <v>0.94199535962877035</v>
      </c>
      <c r="Q588">
        <v>31.4</v>
      </c>
      <c r="R588" s="3">
        <f t="shared" si="55"/>
        <v>0.83289124668435</v>
      </c>
      <c r="S588">
        <v>255</v>
      </c>
      <c r="T588">
        <v>8.8477099999999993</v>
      </c>
      <c r="U588">
        <v>37.846200000000003</v>
      </c>
      <c r="V588">
        <v>8.3819599999999994</v>
      </c>
      <c r="W588" s="3">
        <f t="shared" si="56"/>
        <v>0.94735926019275041</v>
      </c>
      <c r="X588">
        <v>30.819900000000001</v>
      </c>
      <c r="Y588" s="3">
        <f t="shared" si="57"/>
        <v>0.81434595811468513</v>
      </c>
      <c r="Z588">
        <v>258.33100000000002</v>
      </c>
      <c r="AA588">
        <v>77.147000000000006</v>
      </c>
      <c r="AB588">
        <v>25</v>
      </c>
      <c r="AC588" t="s">
        <v>64</v>
      </c>
      <c r="AE588" t="s">
        <v>65</v>
      </c>
      <c r="AF588" t="s">
        <v>66</v>
      </c>
      <c r="AG588" t="s">
        <v>2490</v>
      </c>
      <c r="AH588" s="1">
        <v>0.6066435185185185</v>
      </c>
      <c r="AI588" t="s">
        <v>68</v>
      </c>
      <c r="AJ588" t="s">
        <v>69</v>
      </c>
      <c r="AO588">
        <v>8.9359999999999999</v>
      </c>
      <c r="AP588">
        <v>40.640999999999998</v>
      </c>
      <c r="AQ588">
        <v>38.4</v>
      </c>
      <c r="AR588">
        <v>2.23</v>
      </c>
      <c r="AS588">
        <v>36.475000000000001</v>
      </c>
      <c r="AT588">
        <v>153.6</v>
      </c>
      <c r="AZ588" t="s">
        <v>2491</v>
      </c>
      <c r="BB588" t="s">
        <v>2491</v>
      </c>
      <c r="BD588" t="s">
        <v>68</v>
      </c>
      <c r="BE588" t="s">
        <v>2526</v>
      </c>
      <c r="BF588" t="s">
        <v>2527</v>
      </c>
      <c r="BG588" t="s">
        <v>2528</v>
      </c>
      <c r="BH588">
        <v>0</v>
      </c>
      <c r="BI588">
        <v>0</v>
      </c>
      <c r="BJ588">
        <v>1</v>
      </c>
      <c r="BK588" t="s">
        <v>2529</v>
      </c>
      <c r="BN588" t="s">
        <v>2490</v>
      </c>
      <c r="BO588" s="1">
        <v>0.6066435185185185</v>
      </c>
      <c r="BP588" s="3">
        <f t="shared" si="58"/>
        <v>1.0056941900075749</v>
      </c>
      <c r="BQ588" s="3">
        <f t="shared" si="59"/>
        <v>0.97773384143068898</v>
      </c>
    </row>
    <row r="589" spans="1:69" hidden="1" x14ac:dyDescent="0.35">
      <c r="A589">
        <v>587</v>
      </c>
      <c r="B589">
        <v>3187</v>
      </c>
      <c r="D589">
        <v>38</v>
      </c>
      <c r="E589">
        <v>2</v>
      </c>
      <c r="G589">
        <v>16368</v>
      </c>
      <c r="I589" t="s">
        <v>182</v>
      </c>
      <c r="L589" t="s">
        <v>183</v>
      </c>
      <c r="M589">
        <v>8.6199999999999992</v>
      </c>
      <c r="N589">
        <v>37.700000000000003</v>
      </c>
      <c r="O589">
        <v>8.1199999999999992</v>
      </c>
      <c r="P589" s="3">
        <f t="shared" si="54"/>
        <v>0.94199535962877035</v>
      </c>
      <c r="Q589">
        <v>31.4</v>
      </c>
      <c r="R589" s="3">
        <f t="shared" si="55"/>
        <v>0.83289124668435</v>
      </c>
      <c r="S589">
        <v>255</v>
      </c>
      <c r="T589">
        <v>8.8422599999999996</v>
      </c>
      <c r="U589">
        <v>37.846699999999998</v>
      </c>
      <c r="V589">
        <v>8.4337499999999999</v>
      </c>
      <c r="W589" s="3">
        <f t="shared" si="56"/>
        <v>0.95380027278094071</v>
      </c>
      <c r="X589">
        <v>30.765499999999999</v>
      </c>
      <c r="Y589" s="3">
        <f t="shared" si="57"/>
        <v>0.81289782200297522</v>
      </c>
      <c r="Z589">
        <v>259.46899999999999</v>
      </c>
      <c r="AA589">
        <v>77.534000000000006</v>
      </c>
      <c r="AB589">
        <v>25</v>
      </c>
      <c r="AC589" t="s">
        <v>64</v>
      </c>
      <c r="AE589" t="s">
        <v>65</v>
      </c>
      <c r="AF589" t="s">
        <v>66</v>
      </c>
      <c r="AG589" t="s">
        <v>2490</v>
      </c>
      <c r="AH589" s="1">
        <v>0.61797453703703709</v>
      </c>
      <c r="AI589" t="s">
        <v>68</v>
      </c>
      <c r="AJ589" t="s">
        <v>69</v>
      </c>
      <c r="AO589">
        <v>8.9359999999999999</v>
      </c>
      <c r="AP589">
        <v>40.603000000000002</v>
      </c>
      <c r="AQ589">
        <v>38.4</v>
      </c>
      <c r="AR589">
        <v>2.23</v>
      </c>
      <c r="AS589">
        <v>36.43</v>
      </c>
      <c r="AT589">
        <v>153.6</v>
      </c>
      <c r="AZ589" t="s">
        <v>2491</v>
      </c>
      <c r="BB589" t="s">
        <v>2491</v>
      </c>
      <c r="BD589" t="s">
        <v>68</v>
      </c>
      <c r="BE589" t="s">
        <v>2530</v>
      </c>
      <c r="BF589" t="s">
        <v>2531</v>
      </c>
      <c r="BG589" t="s">
        <v>2532</v>
      </c>
      <c r="BH589">
        <v>0</v>
      </c>
      <c r="BI589">
        <v>0</v>
      </c>
      <c r="BJ589">
        <v>1</v>
      </c>
      <c r="BK589" t="s">
        <v>2533</v>
      </c>
      <c r="BN589" t="s">
        <v>2490</v>
      </c>
      <c r="BO589" s="1">
        <v>0.61797453703703709</v>
      </c>
      <c r="BP589" s="3">
        <f t="shared" si="58"/>
        <v>1.0125318166713926</v>
      </c>
      <c r="BQ589" s="3">
        <f t="shared" si="59"/>
        <v>0.97599515571694817</v>
      </c>
    </row>
    <row r="590" spans="1:69" hidden="1" x14ac:dyDescent="0.35">
      <c r="A590">
        <v>588</v>
      </c>
      <c r="B590">
        <v>3191</v>
      </c>
      <c r="D590">
        <v>38</v>
      </c>
      <c r="E590">
        <v>2</v>
      </c>
      <c r="G590">
        <v>16368</v>
      </c>
      <c r="I590" t="s">
        <v>182</v>
      </c>
      <c r="L590" t="s">
        <v>183</v>
      </c>
      <c r="M590">
        <v>8.6199999999999992</v>
      </c>
      <c r="N590">
        <v>37.700000000000003</v>
      </c>
      <c r="O590">
        <v>8.1199999999999992</v>
      </c>
      <c r="P590" s="3">
        <f t="shared" si="54"/>
        <v>0.94199535962877035</v>
      </c>
      <c r="Q590">
        <v>31.4</v>
      </c>
      <c r="R590" s="3">
        <f t="shared" si="55"/>
        <v>0.83289124668435</v>
      </c>
      <c r="S590">
        <v>255</v>
      </c>
      <c r="T590">
        <v>8.8576200000000007</v>
      </c>
      <c r="U590">
        <v>37.925199999999997</v>
      </c>
      <c r="V590">
        <v>8.4179600000000008</v>
      </c>
      <c r="W590" s="3">
        <f t="shared" si="56"/>
        <v>0.95036364170059229</v>
      </c>
      <c r="X590">
        <v>30.912299999999998</v>
      </c>
      <c r="Y590" s="3">
        <f t="shared" si="57"/>
        <v>0.81508601141193726</v>
      </c>
      <c r="Z590">
        <v>260.21800000000002</v>
      </c>
      <c r="AA590">
        <v>77.462000000000003</v>
      </c>
      <c r="AB590">
        <v>25</v>
      </c>
      <c r="AC590" t="s">
        <v>64</v>
      </c>
      <c r="AE590" t="s">
        <v>65</v>
      </c>
      <c r="AF590" t="s">
        <v>66</v>
      </c>
      <c r="AG590" t="s">
        <v>2490</v>
      </c>
      <c r="AH590" s="1">
        <v>0.64673611111111107</v>
      </c>
      <c r="AI590" t="s">
        <v>68</v>
      </c>
      <c r="AJ590" t="s">
        <v>69</v>
      </c>
      <c r="AO590">
        <v>8.9359999999999999</v>
      </c>
      <c r="AP590">
        <v>39.93</v>
      </c>
      <c r="AQ590">
        <v>38.4</v>
      </c>
      <c r="AR590">
        <v>2.23</v>
      </c>
      <c r="AS590">
        <v>35.61</v>
      </c>
      <c r="AT590">
        <v>153.6</v>
      </c>
      <c r="AZ590" t="s">
        <v>2491</v>
      </c>
      <c r="BB590" t="s">
        <v>2491</v>
      </c>
      <c r="BD590" t="s">
        <v>68</v>
      </c>
      <c r="BE590" t="s">
        <v>2534</v>
      </c>
      <c r="BF590" t="s">
        <v>2535</v>
      </c>
      <c r="BG590" t="s">
        <v>2536</v>
      </c>
      <c r="BH590">
        <v>0</v>
      </c>
      <c r="BI590">
        <v>0</v>
      </c>
      <c r="BJ590">
        <v>1</v>
      </c>
      <c r="BK590" t="s">
        <v>2537</v>
      </c>
      <c r="BN590" t="s">
        <v>2490</v>
      </c>
      <c r="BO590" s="1">
        <v>0.64673611111111107</v>
      </c>
      <c r="BP590" s="3">
        <f t="shared" si="58"/>
        <v>1.0088835703767371</v>
      </c>
      <c r="BQ590" s="3">
        <f t="shared" si="59"/>
        <v>0.9786223767589185</v>
      </c>
    </row>
    <row r="591" spans="1:69" hidden="1" x14ac:dyDescent="0.35">
      <c r="A591">
        <v>589</v>
      </c>
      <c r="B591">
        <v>3161</v>
      </c>
      <c r="D591">
        <v>38</v>
      </c>
      <c r="E591">
        <v>2</v>
      </c>
      <c r="G591">
        <v>16368</v>
      </c>
      <c r="I591" t="s">
        <v>182</v>
      </c>
      <c r="L591" t="s">
        <v>183</v>
      </c>
      <c r="M591">
        <v>8.6199999999999992</v>
      </c>
      <c r="N591">
        <v>37.700000000000003</v>
      </c>
      <c r="O591">
        <v>8.1199999999999992</v>
      </c>
      <c r="P591" s="3">
        <f t="shared" si="54"/>
        <v>0.94199535962877035</v>
      </c>
      <c r="Q591">
        <v>31.4</v>
      </c>
      <c r="R591" s="3">
        <f t="shared" si="55"/>
        <v>0.83289124668435</v>
      </c>
      <c r="S591">
        <v>255</v>
      </c>
      <c r="T591">
        <v>8.8942300000000003</v>
      </c>
      <c r="U591">
        <v>37.899700000000003</v>
      </c>
      <c r="V591">
        <v>8.4340700000000002</v>
      </c>
      <c r="W591" s="3">
        <f t="shared" si="56"/>
        <v>0.94826308741734811</v>
      </c>
      <c r="X591">
        <v>30.732199999999999</v>
      </c>
      <c r="Y591" s="3">
        <f t="shared" si="57"/>
        <v>0.81088240804016909</v>
      </c>
      <c r="Z591">
        <v>259.19799999999998</v>
      </c>
      <c r="AA591">
        <v>76.893000000000001</v>
      </c>
      <c r="AB591">
        <v>25</v>
      </c>
      <c r="AC591" t="s">
        <v>64</v>
      </c>
      <c r="AE591" t="s">
        <v>65</v>
      </c>
      <c r="AF591" t="s">
        <v>66</v>
      </c>
      <c r="AG591" t="s">
        <v>2504</v>
      </c>
      <c r="AH591" s="1">
        <v>0.64765046296296291</v>
      </c>
      <c r="AI591" t="s">
        <v>68</v>
      </c>
      <c r="AJ591" t="s">
        <v>69</v>
      </c>
      <c r="AO591">
        <v>8.9359999999999999</v>
      </c>
      <c r="AP591">
        <v>40.380000000000003</v>
      </c>
      <c r="AQ591">
        <v>38.4</v>
      </c>
      <c r="AR591">
        <v>2.23</v>
      </c>
      <c r="AS591">
        <v>36.130000000000003</v>
      </c>
      <c r="AT591">
        <v>153.6</v>
      </c>
      <c r="AZ591" t="s">
        <v>2505</v>
      </c>
      <c r="BB591" t="s">
        <v>2505</v>
      </c>
      <c r="BD591" t="s">
        <v>68</v>
      </c>
      <c r="BE591" t="s">
        <v>2538</v>
      </c>
      <c r="BF591" t="s">
        <v>2539</v>
      </c>
      <c r="BG591" t="s">
        <v>2540</v>
      </c>
      <c r="BH591">
        <v>0</v>
      </c>
      <c r="BI591">
        <v>0</v>
      </c>
      <c r="BJ591">
        <v>1</v>
      </c>
      <c r="BK591" t="s">
        <v>2541</v>
      </c>
      <c r="BN591" t="s">
        <v>2504</v>
      </c>
      <c r="BO591" s="1">
        <v>0.64765046296296291</v>
      </c>
      <c r="BP591" s="3">
        <f t="shared" si="58"/>
        <v>1.0066536716179237</v>
      </c>
      <c r="BQ591" s="3">
        <f t="shared" si="59"/>
        <v>0.97357537525841975</v>
      </c>
    </row>
    <row r="592" spans="1:69" hidden="1" x14ac:dyDescent="0.35">
      <c r="A592">
        <v>590</v>
      </c>
      <c r="B592">
        <v>3240</v>
      </c>
      <c r="D592">
        <v>38</v>
      </c>
      <c r="E592">
        <v>2</v>
      </c>
      <c r="G592">
        <v>16368</v>
      </c>
      <c r="I592" t="s">
        <v>182</v>
      </c>
      <c r="L592" t="s">
        <v>183</v>
      </c>
      <c r="M592">
        <v>8.6199999999999992</v>
      </c>
      <c r="N592">
        <v>37.700000000000003</v>
      </c>
      <c r="O592">
        <v>8.1199999999999992</v>
      </c>
      <c r="P592" s="3">
        <f t="shared" si="54"/>
        <v>0.94199535962877035</v>
      </c>
      <c r="Q592">
        <v>31.4</v>
      </c>
      <c r="R592" s="3">
        <f t="shared" si="55"/>
        <v>0.83289124668435</v>
      </c>
      <c r="S592">
        <v>255</v>
      </c>
      <c r="T592">
        <v>8.8850499999999997</v>
      </c>
      <c r="U592">
        <v>37.892699999999998</v>
      </c>
      <c r="V592">
        <v>8.4612099999999995</v>
      </c>
      <c r="W592" s="3">
        <f t="shared" si="56"/>
        <v>0.95229739843895078</v>
      </c>
      <c r="X592">
        <v>30.745100000000001</v>
      </c>
      <c r="Y592" s="3">
        <f t="shared" si="57"/>
        <v>0.8113726390571272</v>
      </c>
      <c r="Z592">
        <v>260.14100000000002</v>
      </c>
      <c r="AA592">
        <v>77.266000000000005</v>
      </c>
      <c r="AB592">
        <v>25</v>
      </c>
      <c r="AC592" t="s">
        <v>64</v>
      </c>
      <c r="AE592" t="s">
        <v>65</v>
      </c>
      <c r="AF592" t="s">
        <v>66</v>
      </c>
      <c r="AG592" t="s">
        <v>2504</v>
      </c>
      <c r="AH592" s="1">
        <v>0.64459490740740744</v>
      </c>
      <c r="AI592" t="s">
        <v>68</v>
      </c>
      <c r="AJ592" t="s">
        <v>69</v>
      </c>
      <c r="AO592">
        <v>8.9359999999999999</v>
      </c>
      <c r="AP592">
        <v>40.380000000000003</v>
      </c>
      <c r="AQ592">
        <v>38.4</v>
      </c>
      <c r="AR592">
        <v>2.23</v>
      </c>
      <c r="AS592">
        <v>36.4</v>
      </c>
      <c r="AT592">
        <v>153.6</v>
      </c>
      <c r="AZ592" t="s">
        <v>2505</v>
      </c>
      <c r="BB592" t="s">
        <v>2505</v>
      </c>
      <c r="BD592" t="s">
        <v>68</v>
      </c>
      <c r="BE592" t="s">
        <v>2542</v>
      </c>
      <c r="BF592" t="s">
        <v>2543</v>
      </c>
      <c r="BG592" t="s">
        <v>2544</v>
      </c>
      <c r="BH592">
        <v>0</v>
      </c>
      <c r="BI592">
        <v>0</v>
      </c>
      <c r="BJ592">
        <v>1</v>
      </c>
      <c r="BK592" t="s">
        <v>2545</v>
      </c>
      <c r="BN592" t="s">
        <v>2504</v>
      </c>
      <c r="BO592" s="1">
        <v>0.64459490740740744</v>
      </c>
      <c r="BP592" s="3">
        <f t="shared" si="58"/>
        <v>1.0109364008058812</v>
      </c>
      <c r="BQ592" s="3">
        <f t="shared" si="59"/>
        <v>0.97416396472782485</v>
      </c>
    </row>
    <row r="593" spans="1:69" hidden="1" x14ac:dyDescent="0.35">
      <c r="A593">
        <v>591</v>
      </c>
      <c r="B593">
        <v>3185</v>
      </c>
      <c r="D593">
        <v>38</v>
      </c>
      <c r="E593">
        <v>2</v>
      </c>
      <c r="G593">
        <v>16368</v>
      </c>
      <c r="I593" t="s">
        <v>182</v>
      </c>
      <c r="L593" t="s">
        <v>183</v>
      </c>
      <c r="M593">
        <v>8.6199999999999992</v>
      </c>
      <c r="N593">
        <v>37.700000000000003</v>
      </c>
      <c r="O593">
        <v>8.1199999999999992</v>
      </c>
      <c r="P593" s="3">
        <f t="shared" si="54"/>
        <v>0.94199535962877035</v>
      </c>
      <c r="Q593">
        <v>31.4</v>
      </c>
      <c r="R593" s="3">
        <f t="shared" si="55"/>
        <v>0.83289124668435</v>
      </c>
      <c r="S593">
        <v>255</v>
      </c>
      <c r="T593">
        <v>8.9147400000000001</v>
      </c>
      <c r="U593">
        <v>37.874299999999998</v>
      </c>
      <c r="V593">
        <v>8.4492399999999996</v>
      </c>
      <c r="W593" s="3">
        <f t="shared" si="56"/>
        <v>0.94778310977100844</v>
      </c>
      <c r="X593">
        <v>30.871300000000002</v>
      </c>
      <c r="Y593" s="3">
        <f t="shared" si="57"/>
        <v>0.81509889291683291</v>
      </c>
      <c r="Z593">
        <v>260.839</v>
      </c>
      <c r="AA593">
        <v>77.253</v>
      </c>
      <c r="AB593">
        <v>25</v>
      </c>
      <c r="AC593" t="s">
        <v>64</v>
      </c>
      <c r="AE593" t="s">
        <v>65</v>
      </c>
      <c r="AF593" t="s">
        <v>66</v>
      </c>
      <c r="AG593" t="s">
        <v>2490</v>
      </c>
      <c r="AH593" s="1">
        <v>0.59820601851851851</v>
      </c>
      <c r="AI593" t="s">
        <v>68</v>
      </c>
      <c r="AJ593" t="s">
        <v>69</v>
      </c>
      <c r="AO593">
        <v>8.9359999999999999</v>
      </c>
      <c r="AP593">
        <v>40.378</v>
      </c>
      <c r="AQ593">
        <v>38.4</v>
      </c>
      <c r="AR593">
        <v>2.23</v>
      </c>
      <c r="AS593">
        <v>36.475000000000001</v>
      </c>
      <c r="AT593">
        <v>153.6</v>
      </c>
      <c r="AZ593" t="s">
        <v>2491</v>
      </c>
      <c r="BB593" t="s">
        <v>2491</v>
      </c>
      <c r="BD593" t="s">
        <v>68</v>
      </c>
      <c r="BE593" t="s">
        <v>2546</v>
      </c>
      <c r="BF593" t="s">
        <v>2547</v>
      </c>
      <c r="BG593" t="s">
        <v>2548</v>
      </c>
      <c r="BH593">
        <v>0</v>
      </c>
      <c r="BI593">
        <v>0</v>
      </c>
      <c r="BJ593">
        <v>1</v>
      </c>
      <c r="BK593" t="s">
        <v>2549</v>
      </c>
      <c r="BN593" t="s">
        <v>2490</v>
      </c>
      <c r="BO593" s="1">
        <v>0.59820601851851851</v>
      </c>
      <c r="BP593" s="3">
        <f t="shared" si="58"/>
        <v>1.0061441386977947</v>
      </c>
      <c r="BQ593" s="3">
        <f t="shared" si="59"/>
        <v>0.97863784276957344</v>
      </c>
    </row>
    <row r="594" spans="1:69" hidden="1" x14ac:dyDescent="0.35">
      <c r="A594">
        <v>592</v>
      </c>
      <c r="B594">
        <v>3190</v>
      </c>
      <c r="D594">
        <v>38</v>
      </c>
      <c r="E594">
        <v>2</v>
      </c>
      <c r="G594">
        <v>16368</v>
      </c>
      <c r="I594" t="s">
        <v>182</v>
      </c>
      <c r="L594" t="s">
        <v>183</v>
      </c>
      <c r="M594">
        <v>8.6199999999999992</v>
      </c>
      <c r="N594">
        <v>37.700000000000003</v>
      </c>
      <c r="O594">
        <v>8.1199999999999992</v>
      </c>
      <c r="P594" s="3">
        <f t="shared" si="54"/>
        <v>0.94199535962877035</v>
      </c>
      <c r="Q594">
        <v>31.4</v>
      </c>
      <c r="R594" s="3">
        <f t="shared" si="55"/>
        <v>0.83289124668435</v>
      </c>
      <c r="S594">
        <v>255</v>
      </c>
      <c r="T594">
        <v>8.9005600000000005</v>
      </c>
      <c r="U594">
        <v>37.967199999999998</v>
      </c>
      <c r="V594">
        <v>8.4284499999999998</v>
      </c>
      <c r="W594" s="3">
        <f t="shared" si="56"/>
        <v>0.94695727010435293</v>
      </c>
      <c r="X594">
        <v>30.993400000000001</v>
      </c>
      <c r="Y594" s="3">
        <f t="shared" si="57"/>
        <v>0.81632040287405983</v>
      </c>
      <c r="Z594">
        <v>261.226</v>
      </c>
      <c r="AA594">
        <v>77.302000000000007</v>
      </c>
      <c r="AB594">
        <v>25</v>
      </c>
      <c r="AC594" t="s">
        <v>64</v>
      </c>
      <c r="AE594" t="s">
        <v>65</v>
      </c>
      <c r="AF594" t="s">
        <v>66</v>
      </c>
      <c r="AG594" t="s">
        <v>2490</v>
      </c>
      <c r="AH594" s="1">
        <v>0.64291666666666669</v>
      </c>
      <c r="AI594" t="s">
        <v>68</v>
      </c>
      <c r="AJ594" t="s">
        <v>69</v>
      </c>
      <c r="AO594">
        <v>8.93</v>
      </c>
      <c r="AP594">
        <v>40.42</v>
      </c>
      <c r="AQ594">
        <v>38.4</v>
      </c>
      <c r="AR594">
        <v>2.23</v>
      </c>
      <c r="AS594">
        <v>36.475000000000001</v>
      </c>
      <c r="AT594">
        <v>153.6</v>
      </c>
      <c r="AZ594" t="s">
        <v>2491</v>
      </c>
      <c r="BB594" t="s">
        <v>2491</v>
      </c>
      <c r="BD594" t="s">
        <v>68</v>
      </c>
      <c r="BE594" t="s">
        <v>2550</v>
      </c>
      <c r="BF594" t="s">
        <v>2551</v>
      </c>
      <c r="BG594" t="s">
        <v>2552</v>
      </c>
      <c r="BH594">
        <v>0</v>
      </c>
      <c r="BI594">
        <v>0</v>
      </c>
      <c r="BJ594">
        <v>1</v>
      </c>
      <c r="BK594" t="s">
        <v>2553</v>
      </c>
      <c r="BN594" t="s">
        <v>2490</v>
      </c>
      <c r="BO594" s="1">
        <v>0.64291666666666669</v>
      </c>
      <c r="BP594" s="3">
        <f t="shared" si="58"/>
        <v>1.0052674468349165</v>
      </c>
      <c r="BQ594" s="3">
        <f t="shared" si="59"/>
        <v>0.98010443275006565</v>
      </c>
    </row>
    <row r="595" spans="1:69" hidden="1" x14ac:dyDescent="0.35">
      <c r="A595">
        <v>593</v>
      </c>
      <c r="B595">
        <v>3353</v>
      </c>
      <c r="D595">
        <v>34</v>
      </c>
      <c r="E595">
        <v>8</v>
      </c>
      <c r="G595">
        <v>16766.7</v>
      </c>
      <c r="I595" t="s">
        <v>182</v>
      </c>
      <c r="L595" t="s">
        <v>183</v>
      </c>
      <c r="M595">
        <v>8.94</v>
      </c>
      <c r="N595">
        <v>39.700000000000003</v>
      </c>
      <c r="O595">
        <v>8.3699999999999992</v>
      </c>
      <c r="P595" s="3">
        <f t="shared" si="54"/>
        <v>0.93624161073825496</v>
      </c>
      <c r="Q595">
        <v>31.4</v>
      </c>
      <c r="R595" s="3">
        <f t="shared" si="55"/>
        <v>0.79093198992443314</v>
      </c>
      <c r="S595">
        <v>260</v>
      </c>
      <c r="T595">
        <v>8.9330700000000007</v>
      </c>
      <c r="U595">
        <v>36.992400000000004</v>
      </c>
      <c r="V595">
        <v>8.4715299999999996</v>
      </c>
      <c r="W595" s="3">
        <f t="shared" si="56"/>
        <v>0.94833355162334998</v>
      </c>
      <c r="X595">
        <v>29.321100000000001</v>
      </c>
      <c r="Y595" s="3">
        <f t="shared" si="57"/>
        <v>0.79262497161579126</v>
      </c>
      <c r="Z595">
        <v>248.39500000000001</v>
      </c>
      <c r="AA595">
        <v>75.167000000000002</v>
      </c>
      <c r="AB595">
        <v>25</v>
      </c>
      <c r="AC595" t="s">
        <v>64</v>
      </c>
      <c r="AE595" t="s">
        <v>65</v>
      </c>
      <c r="AF595" t="s">
        <v>66</v>
      </c>
      <c r="AG595" t="s">
        <v>2554</v>
      </c>
      <c r="AH595" s="1">
        <v>0.52995370370370365</v>
      </c>
      <c r="AI595" t="s">
        <v>68</v>
      </c>
      <c r="AJ595" t="s">
        <v>69</v>
      </c>
      <c r="AO595">
        <v>7.1040000000000001</v>
      </c>
      <c r="AP595">
        <v>38.99</v>
      </c>
      <c r="AQ595">
        <v>51.2</v>
      </c>
      <c r="AR595">
        <v>1.7</v>
      </c>
      <c r="AS595">
        <v>34.768000000000001</v>
      </c>
      <c r="AT595">
        <v>307.2</v>
      </c>
      <c r="AZ595" t="s">
        <v>2554</v>
      </c>
      <c r="BB595" t="s">
        <v>2554</v>
      </c>
      <c r="BD595" t="s">
        <v>68</v>
      </c>
      <c r="BE595" t="s">
        <v>2555</v>
      </c>
      <c r="BF595" t="s">
        <v>2556</v>
      </c>
      <c r="BG595" t="s">
        <v>2557</v>
      </c>
      <c r="BH595">
        <v>0</v>
      </c>
      <c r="BI595">
        <v>0</v>
      </c>
      <c r="BJ595">
        <v>1</v>
      </c>
      <c r="BK595" t="s">
        <v>2558</v>
      </c>
      <c r="BN595" t="s">
        <v>2554</v>
      </c>
      <c r="BO595" s="1">
        <v>0.52995370370370365</v>
      </c>
      <c r="BP595" s="3">
        <f t="shared" si="58"/>
        <v>1.0129154063933989</v>
      </c>
      <c r="BQ595" s="3">
        <f t="shared" si="59"/>
        <v>1.0021404895906663</v>
      </c>
    </row>
    <row r="596" spans="1:69" hidden="1" x14ac:dyDescent="0.35">
      <c r="A596">
        <v>594</v>
      </c>
      <c r="B596">
        <v>3340</v>
      </c>
      <c r="D596">
        <v>34</v>
      </c>
      <c r="E596">
        <v>8</v>
      </c>
      <c r="G596">
        <v>16766.7</v>
      </c>
      <c r="I596" t="s">
        <v>182</v>
      </c>
      <c r="L596" t="s">
        <v>183</v>
      </c>
      <c r="M596">
        <v>8.94</v>
      </c>
      <c r="N596">
        <v>39.700000000000003</v>
      </c>
      <c r="O596">
        <v>8.3699999999999992</v>
      </c>
      <c r="P596" s="3">
        <f t="shared" si="54"/>
        <v>0.93624161073825496</v>
      </c>
      <c r="Q596">
        <v>31.4</v>
      </c>
      <c r="R596" s="3">
        <f t="shared" si="55"/>
        <v>0.79093198992443314</v>
      </c>
      <c r="S596">
        <v>260</v>
      </c>
      <c r="T596">
        <v>8.9195499999999992</v>
      </c>
      <c r="U596">
        <v>37.404200000000003</v>
      </c>
      <c r="V596">
        <v>8.4888100000000009</v>
      </c>
      <c r="W596" s="3">
        <f t="shared" si="56"/>
        <v>0.95170832609268419</v>
      </c>
      <c r="X596">
        <v>30.150400000000001</v>
      </c>
      <c r="Y596" s="3">
        <f t="shared" si="57"/>
        <v>0.80606990658803024</v>
      </c>
      <c r="Z596">
        <v>255.941</v>
      </c>
      <c r="AA596">
        <v>76.713999999999999</v>
      </c>
      <c r="AB596">
        <v>25</v>
      </c>
      <c r="AC596" t="s">
        <v>64</v>
      </c>
      <c r="AE596" t="s">
        <v>65</v>
      </c>
      <c r="AF596" t="s">
        <v>66</v>
      </c>
      <c r="AG596" t="s">
        <v>2559</v>
      </c>
      <c r="AH596" s="1">
        <v>0.63434027777777779</v>
      </c>
      <c r="AI596" t="s">
        <v>68</v>
      </c>
      <c r="AJ596" t="s">
        <v>69</v>
      </c>
      <c r="AO596">
        <v>7.109</v>
      </c>
      <c r="AP596">
        <v>38.838999999999999</v>
      </c>
      <c r="AQ596">
        <v>51.2</v>
      </c>
      <c r="AR596">
        <v>1.7849999999999999</v>
      </c>
      <c r="AS596">
        <v>34.823999999999998</v>
      </c>
      <c r="AT596">
        <v>307.2</v>
      </c>
      <c r="AZ596" t="s">
        <v>2559</v>
      </c>
      <c r="BB596" t="s">
        <v>2559</v>
      </c>
      <c r="BD596" t="s">
        <v>68</v>
      </c>
      <c r="BE596" t="s">
        <v>2560</v>
      </c>
      <c r="BF596" t="s">
        <v>2561</v>
      </c>
      <c r="BG596" t="s">
        <v>2562</v>
      </c>
      <c r="BH596">
        <v>0</v>
      </c>
      <c r="BI596">
        <v>0</v>
      </c>
      <c r="BJ596">
        <v>1</v>
      </c>
      <c r="BK596" t="s">
        <v>2563</v>
      </c>
      <c r="BN596" t="s">
        <v>2559</v>
      </c>
      <c r="BO596" s="1">
        <v>0.63434027777777779</v>
      </c>
      <c r="BP596" s="3">
        <f t="shared" si="58"/>
        <v>1.0165200042136915</v>
      </c>
      <c r="BQ596" s="3">
        <f t="shared" si="59"/>
        <v>1.0191393404950575</v>
      </c>
    </row>
    <row r="597" spans="1:69" hidden="1" x14ac:dyDescent="0.35">
      <c r="A597">
        <v>595</v>
      </c>
      <c r="B597">
        <v>3346</v>
      </c>
      <c r="D597">
        <v>34</v>
      </c>
      <c r="E597">
        <v>8</v>
      </c>
      <c r="G597">
        <v>16766.7</v>
      </c>
      <c r="I597" t="s">
        <v>182</v>
      </c>
      <c r="L597" t="s">
        <v>183</v>
      </c>
      <c r="M597">
        <v>8.94</v>
      </c>
      <c r="N597">
        <v>39.700000000000003</v>
      </c>
      <c r="O597">
        <v>8.3699999999999992</v>
      </c>
      <c r="P597" s="3">
        <f t="shared" si="54"/>
        <v>0.93624161073825496</v>
      </c>
      <c r="Q597">
        <v>31.4</v>
      </c>
      <c r="R597" s="3">
        <f t="shared" si="55"/>
        <v>0.79093198992443314</v>
      </c>
      <c r="S597">
        <v>260</v>
      </c>
      <c r="T597">
        <v>8.9412299999999991</v>
      </c>
      <c r="U597">
        <v>37.485199999999999</v>
      </c>
      <c r="V597">
        <v>8.4642199999999992</v>
      </c>
      <c r="W597" s="3">
        <f t="shared" si="56"/>
        <v>0.94665051676335354</v>
      </c>
      <c r="X597">
        <v>30.3627</v>
      </c>
      <c r="Y597" s="3">
        <f t="shared" si="57"/>
        <v>0.80999167671507688</v>
      </c>
      <c r="Z597">
        <v>256.99700000000001</v>
      </c>
      <c r="AA597">
        <v>76.677999999999997</v>
      </c>
      <c r="AB597">
        <v>25</v>
      </c>
      <c r="AC597" t="s">
        <v>64</v>
      </c>
      <c r="AE597" t="s">
        <v>65</v>
      </c>
      <c r="AF597" t="s">
        <v>66</v>
      </c>
      <c r="AG597" t="s">
        <v>2554</v>
      </c>
      <c r="AH597" s="1">
        <v>0.37540509259259258</v>
      </c>
      <c r="AI597" t="s">
        <v>68</v>
      </c>
      <c r="AJ597" t="s">
        <v>69</v>
      </c>
      <c r="AR597">
        <v>1.7</v>
      </c>
      <c r="AS597">
        <v>34.561</v>
      </c>
      <c r="AT597">
        <v>307.2</v>
      </c>
      <c r="BB597" t="s">
        <v>2559</v>
      </c>
      <c r="BD597" t="s">
        <v>68</v>
      </c>
      <c r="BF597" t="s">
        <v>2564</v>
      </c>
      <c r="BG597" t="s">
        <v>2565</v>
      </c>
      <c r="BH597">
        <v>0</v>
      </c>
      <c r="BI597">
        <v>0</v>
      </c>
      <c r="BJ597">
        <v>2</v>
      </c>
      <c r="BK597" t="s">
        <v>2566</v>
      </c>
      <c r="BN597" t="s">
        <v>2554</v>
      </c>
      <c r="BO597" s="1">
        <v>0.37540509259259258</v>
      </c>
      <c r="BP597" s="3">
        <f t="shared" si="58"/>
        <v>1.0111177562561986</v>
      </c>
      <c r="BQ597" s="3">
        <f t="shared" si="59"/>
        <v>1.0240977568658776</v>
      </c>
    </row>
    <row r="598" spans="1:69" hidden="1" x14ac:dyDescent="0.35">
      <c r="A598">
        <v>596</v>
      </c>
      <c r="B598">
        <v>3346</v>
      </c>
      <c r="D598">
        <v>34</v>
      </c>
      <c r="E598">
        <v>8</v>
      </c>
      <c r="G598">
        <v>16766.7</v>
      </c>
      <c r="I598" t="s">
        <v>182</v>
      </c>
      <c r="L598" t="s">
        <v>183</v>
      </c>
      <c r="M598">
        <v>8.94</v>
      </c>
      <c r="N598">
        <v>39.700000000000003</v>
      </c>
      <c r="O598">
        <v>8.3699999999999992</v>
      </c>
      <c r="P598" s="3">
        <f t="shared" si="54"/>
        <v>0.93624161073825496</v>
      </c>
      <c r="Q598">
        <v>31.4</v>
      </c>
      <c r="R598" s="3">
        <f t="shared" si="55"/>
        <v>0.79093198992443314</v>
      </c>
      <c r="S598">
        <v>260</v>
      </c>
      <c r="T598">
        <v>8.9412299999999991</v>
      </c>
      <c r="U598">
        <v>37.485199999999999</v>
      </c>
      <c r="V598">
        <v>8.4642199999999992</v>
      </c>
      <c r="W598" s="3">
        <f t="shared" si="56"/>
        <v>0.94665051676335354</v>
      </c>
      <c r="X598">
        <v>30.3627</v>
      </c>
      <c r="Y598" s="3">
        <f t="shared" si="57"/>
        <v>0.80999167671507688</v>
      </c>
      <c r="Z598">
        <v>256.99700000000001</v>
      </c>
      <c r="AA598">
        <v>76.677999999999997</v>
      </c>
      <c r="AB598">
        <v>25</v>
      </c>
      <c r="AC598" t="s">
        <v>64</v>
      </c>
      <c r="AE598" t="s">
        <v>65</v>
      </c>
      <c r="AF598" t="s">
        <v>66</v>
      </c>
      <c r="AG598" t="s">
        <v>2554</v>
      </c>
      <c r="AH598" s="1">
        <v>0.37540509259259258</v>
      </c>
      <c r="AI598" t="s">
        <v>68</v>
      </c>
      <c r="AJ598" t="s">
        <v>69</v>
      </c>
      <c r="AO598">
        <v>7.1040000000000001</v>
      </c>
      <c r="AP598">
        <v>38.576999999999998</v>
      </c>
      <c r="AQ598">
        <v>51.2</v>
      </c>
      <c r="AR598">
        <v>1.7</v>
      </c>
      <c r="AS598">
        <v>34.561</v>
      </c>
      <c r="AT598">
        <v>307.2</v>
      </c>
      <c r="AZ598" t="s">
        <v>2554</v>
      </c>
      <c r="BB598" t="s">
        <v>2554</v>
      </c>
      <c r="BD598" t="s">
        <v>68</v>
      </c>
      <c r="BE598" t="s">
        <v>2567</v>
      </c>
      <c r="BF598" t="s">
        <v>2568</v>
      </c>
      <c r="BG598" t="s">
        <v>2565</v>
      </c>
      <c r="BH598">
        <v>0</v>
      </c>
      <c r="BI598">
        <v>1</v>
      </c>
      <c r="BJ598">
        <v>2</v>
      </c>
      <c r="BK598" t="s">
        <v>2566</v>
      </c>
      <c r="BN598" t="s">
        <v>2554</v>
      </c>
      <c r="BO598" s="1">
        <v>0.37540509259259258</v>
      </c>
      <c r="BP598" s="3">
        <f t="shared" si="58"/>
        <v>1.0111177562561986</v>
      </c>
      <c r="BQ598" s="3">
        <f t="shared" si="59"/>
        <v>1.0240977568658776</v>
      </c>
    </row>
    <row r="599" spans="1:69" hidden="1" x14ac:dyDescent="0.35">
      <c r="A599">
        <v>597</v>
      </c>
      <c r="B599">
        <v>3387</v>
      </c>
      <c r="D599">
        <v>34</v>
      </c>
      <c r="E599">
        <v>4</v>
      </c>
      <c r="G599">
        <v>16766.7</v>
      </c>
      <c r="I599" t="s">
        <v>182</v>
      </c>
      <c r="L599" t="s">
        <v>183</v>
      </c>
      <c r="M599">
        <v>9.44</v>
      </c>
      <c r="N599">
        <v>39.200000000000003</v>
      </c>
      <c r="O599">
        <v>8.81</v>
      </c>
      <c r="P599" s="3">
        <f t="shared" si="54"/>
        <v>0.9332627118644069</v>
      </c>
      <c r="Q599">
        <v>30.9</v>
      </c>
      <c r="R599" s="3">
        <f t="shared" si="55"/>
        <v>0.78826530612244894</v>
      </c>
      <c r="S599">
        <v>270</v>
      </c>
      <c r="T599">
        <v>9.0007999999999999</v>
      </c>
      <c r="U599">
        <v>38.725700000000003</v>
      </c>
      <c r="V599">
        <v>8.5728000000000009</v>
      </c>
      <c r="W599" s="3">
        <f t="shared" si="56"/>
        <v>0.95244867122922416</v>
      </c>
      <c r="X599">
        <v>31.021599999999999</v>
      </c>
      <c r="Y599" s="3">
        <f t="shared" si="57"/>
        <v>0.80105976134711565</v>
      </c>
      <c r="Z599">
        <v>265.94200000000001</v>
      </c>
      <c r="AA599">
        <v>76.296000000000006</v>
      </c>
      <c r="AB599">
        <v>25</v>
      </c>
      <c r="AC599" t="s">
        <v>64</v>
      </c>
      <c r="AE599" t="s">
        <v>65</v>
      </c>
      <c r="AF599" t="s">
        <v>66</v>
      </c>
      <c r="AG599" t="s">
        <v>2569</v>
      </c>
      <c r="AH599" s="1">
        <v>0.64581018518518518</v>
      </c>
      <c r="AI599" t="s">
        <v>68</v>
      </c>
      <c r="AJ599" t="s">
        <v>69</v>
      </c>
      <c r="AO599">
        <v>7.508</v>
      </c>
      <c r="AP599">
        <v>40.941000000000003</v>
      </c>
      <c r="AQ599">
        <v>12.8</v>
      </c>
      <c r="AR599">
        <v>1.8</v>
      </c>
      <c r="AS599">
        <v>36.549999999999997</v>
      </c>
      <c r="AT599">
        <v>76.8</v>
      </c>
      <c r="AZ599" t="s">
        <v>2569</v>
      </c>
      <c r="BB599" t="s">
        <v>2569</v>
      </c>
      <c r="BD599" t="s">
        <v>68</v>
      </c>
      <c r="BE599" t="s">
        <v>2570</v>
      </c>
      <c r="BF599" t="s">
        <v>2571</v>
      </c>
      <c r="BG599" t="s">
        <v>2572</v>
      </c>
      <c r="BH599">
        <v>0</v>
      </c>
      <c r="BI599">
        <v>0</v>
      </c>
      <c r="BJ599">
        <v>1</v>
      </c>
      <c r="BK599" t="s">
        <v>2573</v>
      </c>
      <c r="BN599" t="s">
        <v>2569</v>
      </c>
      <c r="BO599" s="1">
        <v>0.64581018518518518</v>
      </c>
      <c r="BP599" s="3">
        <f t="shared" si="58"/>
        <v>1.0205579405679768</v>
      </c>
      <c r="BQ599" s="3">
        <f t="shared" si="59"/>
        <v>1.0162311535536226</v>
      </c>
    </row>
    <row r="600" spans="1:69" hidden="1" x14ac:dyDescent="0.35">
      <c r="A600">
        <v>598</v>
      </c>
      <c r="B600">
        <v>3382</v>
      </c>
      <c r="D600">
        <v>34</v>
      </c>
      <c r="E600">
        <v>4</v>
      </c>
      <c r="G600">
        <v>16766.7</v>
      </c>
      <c r="I600" t="s">
        <v>182</v>
      </c>
      <c r="L600" t="s">
        <v>183</v>
      </c>
      <c r="M600">
        <v>9.44</v>
      </c>
      <c r="N600">
        <v>39.200000000000003</v>
      </c>
      <c r="O600">
        <v>8.81</v>
      </c>
      <c r="P600" s="3">
        <f t="shared" si="54"/>
        <v>0.9332627118644069</v>
      </c>
      <c r="Q600">
        <v>30.9</v>
      </c>
      <c r="R600" s="3">
        <f t="shared" si="55"/>
        <v>0.78826530612244894</v>
      </c>
      <c r="S600">
        <v>270</v>
      </c>
      <c r="T600">
        <v>8.9853299999999994</v>
      </c>
      <c r="U600">
        <v>38.7072</v>
      </c>
      <c r="V600">
        <v>8.5410900000000005</v>
      </c>
      <c r="W600" s="3">
        <f t="shared" si="56"/>
        <v>0.95055941184130144</v>
      </c>
      <c r="X600">
        <v>31.064499999999999</v>
      </c>
      <c r="Y600" s="3">
        <f t="shared" si="57"/>
        <v>0.80255094659391535</v>
      </c>
      <c r="Z600">
        <v>265.32499999999999</v>
      </c>
      <c r="AA600">
        <v>76.287000000000006</v>
      </c>
      <c r="AB600">
        <v>25</v>
      </c>
      <c r="AC600" t="s">
        <v>64</v>
      </c>
      <c r="AE600" t="s">
        <v>65</v>
      </c>
      <c r="AF600" t="s">
        <v>66</v>
      </c>
      <c r="AG600" t="s">
        <v>2569</v>
      </c>
      <c r="AH600" s="1">
        <v>0.56906250000000003</v>
      </c>
      <c r="AI600" t="s">
        <v>68</v>
      </c>
      <c r="AJ600" t="s">
        <v>69</v>
      </c>
      <c r="AO600">
        <v>7.508</v>
      </c>
      <c r="AP600">
        <v>41.091000000000001</v>
      </c>
      <c r="AQ600">
        <v>19.2</v>
      </c>
      <c r="AR600">
        <v>1.8049999999999999</v>
      </c>
      <c r="AS600">
        <v>36.512</v>
      </c>
      <c r="AT600">
        <v>76.8</v>
      </c>
      <c r="AZ600" t="s">
        <v>2569</v>
      </c>
      <c r="BB600" t="s">
        <v>2569</v>
      </c>
      <c r="BD600" t="s">
        <v>68</v>
      </c>
      <c r="BE600" t="s">
        <v>2574</v>
      </c>
      <c r="BF600" t="s">
        <v>2575</v>
      </c>
      <c r="BG600" t="s">
        <v>2576</v>
      </c>
      <c r="BH600">
        <v>0</v>
      </c>
      <c r="BI600">
        <v>0</v>
      </c>
      <c r="BJ600">
        <v>1</v>
      </c>
      <c r="BK600" t="s">
        <v>2577</v>
      </c>
      <c r="BN600" t="s">
        <v>2569</v>
      </c>
      <c r="BO600" s="1">
        <v>0.56906250000000003</v>
      </c>
      <c r="BP600" s="3">
        <f t="shared" si="58"/>
        <v>1.0185335809060028</v>
      </c>
      <c r="BQ600" s="3">
        <f t="shared" si="59"/>
        <v>1.0181228837049023</v>
      </c>
    </row>
    <row r="601" spans="1:69" hidden="1" x14ac:dyDescent="0.35">
      <c r="A601">
        <v>599</v>
      </c>
      <c r="B601">
        <v>3383</v>
      </c>
      <c r="D601">
        <v>34</v>
      </c>
      <c r="E601">
        <v>4</v>
      </c>
      <c r="G601">
        <v>16766.7</v>
      </c>
      <c r="I601" t="s">
        <v>182</v>
      </c>
      <c r="L601" t="s">
        <v>183</v>
      </c>
      <c r="M601">
        <v>9.44</v>
      </c>
      <c r="N601">
        <v>39.200000000000003</v>
      </c>
      <c r="O601">
        <v>8.81</v>
      </c>
      <c r="P601" s="3">
        <f t="shared" si="54"/>
        <v>0.9332627118644069</v>
      </c>
      <c r="Q601">
        <v>30.9</v>
      </c>
      <c r="R601" s="3">
        <f t="shared" si="55"/>
        <v>0.78826530612244894</v>
      </c>
      <c r="S601">
        <v>270</v>
      </c>
      <c r="T601">
        <v>8.9362300000000001</v>
      </c>
      <c r="U601">
        <v>38.698500000000003</v>
      </c>
      <c r="V601">
        <v>8.5216899999999995</v>
      </c>
      <c r="W601" s="3">
        <f t="shared" si="56"/>
        <v>0.95361131036242341</v>
      </c>
      <c r="X601">
        <v>31.182700000000001</v>
      </c>
      <c r="Y601" s="3">
        <f t="shared" si="57"/>
        <v>0.80578575396979202</v>
      </c>
      <c r="Z601">
        <v>265.72899999999998</v>
      </c>
      <c r="AA601">
        <v>76.84</v>
      </c>
      <c r="AB601">
        <v>25</v>
      </c>
      <c r="AC601" t="s">
        <v>64</v>
      </c>
      <c r="AE601" t="s">
        <v>65</v>
      </c>
      <c r="AF601" t="s">
        <v>66</v>
      </c>
      <c r="AG601" t="s">
        <v>2569</v>
      </c>
      <c r="AH601" s="1">
        <v>0.59407407407407409</v>
      </c>
      <c r="AI601" t="s">
        <v>68</v>
      </c>
      <c r="AJ601" t="s">
        <v>69</v>
      </c>
      <c r="AO601">
        <v>7.5030000000000001</v>
      </c>
      <c r="AP601">
        <v>40.866</v>
      </c>
      <c r="AQ601">
        <v>12.8</v>
      </c>
      <c r="AR601">
        <v>1.8049999999999999</v>
      </c>
      <c r="AS601">
        <v>36.436999999999998</v>
      </c>
      <c r="AT601">
        <v>76.8</v>
      </c>
      <c r="AZ601" t="s">
        <v>2569</v>
      </c>
      <c r="BB601" t="s">
        <v>2569</v>
      </c>
      <c r="BD601" t="s">
        <v>68</v>
      </c>
      <c r="BE601" t="s">
        <v>2578</v>
      </c>
      <c r="BF601" t="s">
        <v>2579</v>
      </c>
      <c r="BG601" t="s">
        <v>2580</v>
      </c>
      <c r="BH601">
        <v>0</v>
      </c>
      <c r="BI601">
        <v>0</v>
      </c>
      <c r="BJ601">
        <v>1</v>
      </c>
      <c r="BK601" t="s">
        <v>2581</v>
      </c>
      <c r="BN601" t="s">
        <v>2569</v>
      </c>
      <c r="BO601" s="1">
        <v>0.59407407407407409</v>
      </c>
      <c r="BP601" s="3">
        <f t="shared" si="58"/>
        <v>1.02180371961649</v>
      </c>
      <c r="BQ601" s="3">
        <f t="shared" si="59"/>
        <v>1.0222265875603835</v>
      </c>
    </row>
    <row r="602" spans="1:69" hidden="1" x14ac:dyDescent="0.35">
      <c r="A602">
        <v>600</v>
      </c>
      <c r="B602">
        <v>3381</v>
      </c>
      <c r="D602">
        <v>34</v>
      </c>
      <c r="E602">
        <v>4</v>
      </c>
      <c r="G602">
        <v>16766.7</v>
      </c>
      <c r="I602" t="s">
        <v>182</v>
      </c>
      <c r="L602" t="s">
        <v>183</v>
      </c>
      <c r="M602">
        <v>9.44</v>
      </c>
      <c r="N602">
        <v>39.200000000000003</v>
      </c>
      <c r="O602">
        <v>8.81</v>
      </c>
      <c r="P602" s="3">
        <f t="shared" si="54"/>
        <v>0.9332627118644069</v>
      </c>
      <c r="Q602">
        <v>30.9</v>
      </c>
      <c r="R602" s="3">
        <f t="shared" si="55"/>
        <v>0.78826530612244894</v>
      </c>
      <c r="S602">
        <v>270</v>
      </c>
      <c r="T602">
        <v>8.9757200000000008</v>
      </c>
      <c r="U602">
        <v>38.7699</v>
      </c>
      <c r="V602">
        <v>8.5038499999999999</v>
      </c>
      <c r="W602" s="3">
        <f t="shared" si="56"/>
        <v>0.94742817289309367</v>
      </c>
      <c r="X602">
        <v>31.132999999999999</v>
      </c>
      <c r="Y602" s="3">
        <f t="shared" si="57"/>
        <v>0.80301986850623808</v>
      </c>
      <c r="Z602">
        <v>264.75099999999998</v>
      </c>
      <c r="AA602">
        <v>76.08</v>
      </c>
      <c r="AB602">
        <v>25</v>
      </c>
      <c r="AC602" t="s">
        <v>64</v>
      </c>
      <c r="AE602" t="s">
        <v>65</v>
      </c>
      <c r="AF602" t="s">
        <v>66</v>
      </c>
      <c r="AG602" t="s">
        <v>2569</v>
      </c>
      <c r="AH602" s="1">
        <v>0.55178240740740736</v>
      </c>
      <c r="AI602" t="s">
        <v>68</v>
      </c>
      <c r="AJ602" t="s">
        <v>69</v>
      </c>
      <c r="AO602">
        <v>7.5030000000000001</v>
      </c>
      <c r="AP602">
        <v>42.213999999999999</v>
      </c>
      <c r="AQ602">
        <v>19.2</v>
      </c>
      <c r="AR602">
        <v>1.7050000000000001</v>
      </c>
      <c r="AS602">
        <v>36.700000000000003</v>
      </c>
      <c r="AT602">
        <v>76.8</v>
      </c>
      <c r="AZ602" t="s">
        <v>2569</v>
      </c>
      <c r="BB602" t="s">
        <v>2569</v>
      </c>
      <c r="BD602" t="s">
        <v>68</v>
      </c>
      <c r="BE602" t="s">
        <v>2582</v>
      </c>
      <c r="BF602" t="s">
        <v>2583</v>
      </c>
      <c r="BG602" t="s">
        <v>2584</v>
      </c>
      <c r="BH602">
        <v>0</v>
      </c>
      <c r="BI602">
        <v>0</v>
      </c>
      <c r="BJ602">
        <v>1</v>
      </c>
      <c r="BK602" t="s">
        <v>2585</v>
      </c>
      <c r="BN602" t="s">
        <v>2569</v>
      </c>
      <c r="BO602" s="1">
        <v>0.55178240740740736</v>
      </c>
      <c r="BP602" s="3">
        <f t="shared" si="58"/>
        <v>1.0151784281624068</v>
      </c>
      <c r="BQ602" s="3">
        <f t="shared" si="59"/>
        <v>1.0187177619884962</v>
      </c>
    </row>
    <row r="603" spans="1:69" hidden="1" x14ac:dyDescent="0.35">
      <c r="A603">
        <v>601</v>
      </c>
      <c r="B603">
        <v>3384</v>
      </c>
      <c r="D603">
        <v>34</v>
      </c>
      <c r="E603">
        <v>4</v>
      </c>
      <c r="G603">
        <v>16766.7</v>
      </c>
      <c r="I603" t="s">
        <v>182</v>
      </c>
      <c r="L603" t="s">
        <v>183</v>
      </c>
      <c r="M603">
        <v>9.44</v>
      </c>
      <c r="N603">
        <v>39.200000000000003</v>
      </c>
      <c r="O603">
        <v>8.81</v>
      </c>
      <c r="P603" s="3">
        <f t="shared" si="54"/>
        <v>0.9332627118644069</v>
      </c>
      <c r="Q603">
        <v>30.9</v>
      </c>
      <c r="R603" s="3">
        <f t="shared" si="55"/>
        <v>0.78826530612244894</v>
      </c>
      <c r="S603">
        <v>270</v>
      </c>
      <c r="T603">
        <v>8.9699500000000008</v>
      </c>
      <c r="U603">
        <v>38.752899999999997</v>
      </c>
      <c r="V603">
        <v>8.6128199999999993</v>
      </c>
      <c r="W603" s="3">
        <f t="shared" si="56"/>
        <v>0.96018595421379149</v>
      </c>
      <c r="X603">
        <v>30.883299999999998</v>
      </c>
      <c r="Y603" s="3">
        <f t="shared" si="57"/>
        <v>0.79692874597772045</v>
      </c>
      <c r="Z603">
        <v>265.99200000000002</v>
      </c>
      <c r="AA603">
        <v>76.519000000000005</v>
      </c>
      <c r="AB603">
        <v>25</v>
      </c>
      <c r="AC603" t="s">
        <v>64</v>
      </c>
      <c r="AE603" t="s">
        <v>65</v>
      </c>
      <c r="AF603" t="s">
        <v>66</v>
      </c>
      <c r="AG603" t="s">
        <v>2569</v>
      </c>
      <c r="AH603" s="1">
        <v>0.60717592592592595</v>
      </c>
      <c r="AI603" t="s">
        <v>68</v>
      </c>
      <c r="AJ603" t="s">
        <v>69</v>
      </c>
      <c r="AO603">
        <v>7.508</v>
      </c>
      <c r="AP603">
        <v>41.241</v>
      </c>
      <c r="AQ603">
        <v>12.8</v>
      </c>
      <c r="AR603">
        <v>1.8049999999999999</v>
      </c>
      <c r="AS603">
        <v>36.662999999999997</v>
      </c>
      <c r="AT603">
        <v>76.8</v>
      </c>
      <c r="AZ603" t="s">
        <v>2569</v>
      </c>
      <c r="BB603" t="s">
        <v>2569</v>
      </c>
      <c r="BD603" t="s">
        <v>68</v>
      </c>
      <c r="BE603" t="s">
        <v>2586</v>
      </c>
      <c r="BF603" t="s">
        <v>2587</v>
      </c>
      <c r="BG603" t="s">
        <v>2588</v>
      </c>
      <c r="BH603">
        <v>0</v>
      </c>
      <c r="BI603">
        <v>0</v>
      </c>
      <c r="BJ603">
        <v>1</v>
      </c>
      <c r="BK603" t="s">
        <v>2589</v>
      </c>
      <c r="BN603" t="s">
        <v>2569</v>
      </c>
      <c r="BO603" s="1">
        <v>0.60717592592592595</v>
      </c>
      <c r="BP603" s="3">
        <f t="shared" si="58"/>
        <v>1.0288485139362304</v>
      </c>
      <c r="BQ603" s="3">
        <f t="shared" si="59"/>
        <v>1.0109905126966552</v>
      </c>
    </row>
    <row r="604" spans="1:69" hidden="1" x14ac:dyDescent="0.35">
      <c r="A604">
        <v>602</v>
      </c>
      <c r="B604">
        <v>3388</v>
      </c>
      <c r="D604">
        <v>34</v>
      </c>
      <c r="E604">
        <v>4</v>
      </c>
      <c r="G604">
        <v>16766.7</v>
      </c>
      <c r="I604" t="s">
        <v>182</v>
      </c>
      <c r="L604" t="s">
        <v>183</v>
      </c>
      <c r="M604">
        <v>9.44</v>
      </c>
      <c r="N604">
        <v>39.200000000000003</v>
      </c>
      <c r="O604">
        <v>8.81</v>
      </c>
      <c r="P604" s="3">
        <f t="shared" si="54"/>
        <v>0.9332627118644069</v>
      </c>
      <c r="Q604">
        <v>30.9</v>
      </c>
      <c r="R604" s="3">
        <f t="shared" si="55"/>
        <v>0.78826530612244894</v>
      </c>
      <c r="S604">
        <v>270</v>
      </c>
      <c r="T604">
        <v>8.9481000000000002</v>
      </c>
      <c r="U604">
        <v>38.741599999999998</v>
      </c>
      <c r="V604">
        <v>8.5336999999999996</v>
      </c>
      <c r="W604" s="3">
        <f t="shared" si="56"/>
        <v>0.95368849252914023</v>
      </c>
      <c r="X604">
        <v>30.9176</v>
      </c>
      <c r="Y604" s="3">
        <f t="shared" si="57"/>
        <v>0.79804654428314792</v>
      </c>
      <c r="Z604">
        <v>263.84100000000001</v>
      </c>
      <c r="AA604">
        <v>76.108000000000004</v>
      </c>
      <c r="AB604">
        <v>25</v>
      </c>
      <c r="AC604" t="s">
        <v>64</v>
      </c>
      <c r="AE604" t="s">
        <v>65</v>
      </c>
      <c r="AF604" t="s">
        <v>66</v>
      </c>
      <c r="AG604" t="s">
        <v>2569</v>
      </c>
      <c r="AH604" s="1">
        <v>0.6769560185185185</v>
      </c>
      <c r="AI604" t="s">
        <v>68</v>
      </c>
      <c r="AJ604" t="s">
        <v>69</v>
      </c>
      <c r="AO604">
        <v>7.508</v>
      </c>
      <c r="AP604">
        <v>41.316000000000003</v>
      </c>
      <c r="AQ604">
        <v>12.8</v>
      </c>
      <c r="AR604">
        <v>1.8</v>
      </c>
      <c r="AS604">
        <v>36.512</v>
      </c>
      <c r="AT604">
        <v>76.8</v>
      </c>
      <c r="AZ604" t="s">
        <v>2569</v>
      </c>
      <c r="BB604" t="s">
        <v>2569</v>
      </c>
      <c r="BD604" t="s">
        <v>68</v>
      </c>
      <c r="BE604" t="s">
        <v>2590</v>
      </c>
      <c r="BF604" t="s">
        <v>2591</v>
      </c>
      <c r="BG604" t="s">
        <v>2592</v>
      </c>
      <c r="BH604">
        <v>0</v>
      </c>
      <c r="BI604">
        <v>0</v>
      </c>
      <c r="BJ604">
        <v>1</v>
      </c>
      <c r="BK604" t="s">
        <v>2593</v>
      </c>
      <c r="BN604" t="s">
        <v>2569</v>
      </c>
      <c r="BO604" s="1">
        <v>0.6769560185185185</v>
      </c>
      <c r="BP604" s="3">
        <f t="shared" si="58"/>
        <v>1.0218864210527903</v>
      </c>
      <c r="BQ604" s="3">
        <f t="shared" si="59"/>
        <v>1.012408561032343</v>
      </c>
    </row>
    <row r="605" spans="1:69" hidden="1" x14ac:dyDescent="0.35">
      <c r="A605">
        <v>603</v>
      </c>
      <c r="B605">
        <v>3389</v>
      </c>
      <c r="D605">
        <v>34</v>
      </c>
      <c r="E605">
        <v>4</v>
      </c>
      <c r="G605">
        <v>16766.7</v>
      </c>
      <c r="I605" t="s">
        <v>182</v>
      </c>
      <c r="L605" t="s">
        <v>183</v>
      </c>
      <c r="M605">
        <v>9.44</v>
      </c>
      <c r="N605">
        <v>39.200000000000003</v>
      </c>
      <c r="O605">
        <v>8.81</v>
      </c>
      <c r="P605" s="3">
        <f t="shared" si="54"/>
        <v>0.9332627118644069</v>
      </c>
      <c r="Q605">
        <v>30.9</v>
      </c>
      <c r="R605" s="3">
        <f t="shared" si="55"/>
        <v>0.78826530612244894</v>
      </c>
      <c r="S605">
        <v>270</v>
      </c>
      <c r="T605">
        <v>8.9445700000000006</v>
      </c>
      <c r="U605">
        <v>38.622</v>
      </c>
      <c r="V605">
        <v>8.5823499999999999</v>
      </c>
      <c r="W605" s="3">
        <f t="shared" si="56"/>
        <v>0.95950392249152272</v>
      </c>
      <c r="X605">
        <v>30.999300000000002</v>
      </c>
      <c r="Y605" s="3">
        <f t="shared" si="57"/>
        <v>0.80263321423023148</v>
      </c>
      <c r="Z605">
        <v>266.04700000000003</v>
      </c>
      <c r="AA605">
        <v>77.012</v>
      </c>
      <c r="AB605">
        <v>25</v>
      </c>
      <c r="AC605" t="s">
        <v>64</v>
      </c>
      <c r="AE605" t="s">
        <v>65</v>
      </c>
      <c r="AF605" t="s">
        <v>66</v>
      </c>
      <c r="AG605" t="s">
        <v>2569</v>
      </c>
      <c r="AH605" s="1">
        <v>0.66575231481481478</v>
      </c>
      <c r="AI605" t="s">
        <v>68</v>
      </c>
      <c r="AJ605" t="s">
        <v>69</v>
      </c>
      <c r="AO605">
        <v>7.508</v>
      </c>
      <c r="AP605">
        <v>40.866</v>
      </c>
      <c r="AQ605">
        <v>19.2</v>
      </c>
      <c r="AR605">
        <v>1.8</v>
      </c>
      <c r="AS605">
        <v>36.325000000000003</v>
      </c>
      <c r="AT605">
        <v>76.8</v>
      </c>
      <c r="AZ605" t="s">
        <v>2569</v>
      </c>
      <c r="BB605" t="s">
        <v>2569</v>
      </c>
      <c r="BD605" t="s">
        <v>68</v>
      </c>
      <c r="BE605" t="s">
        <v>2594</v>
      </c>
      <c r="BF605" t="s">
        <v>2595</v>
      </c>
      <c r="BG605" t="s">
        <v>2596</v>
      </c>
      <c r="BH605">
        <v>0</v>
      </c>
      <c r="BI605">
        <v>0</v>
      </c>
      <c r="BJ605">
        <v>1</v>
      </c>
      <c r="BK605" t="s">
        <v>2597</v>
      </c>
      <c r="BN605" t="s">
        <v>2569</v>
      </c>
      <c r="BO605" s="1">
        <v>0.66575231481481478</v>
      </c>
      <c r="BP605" s="3">
        <f t="shared" si="58"/>
        <v>1.0281177103654908</v>
      </c>
      <c r="BQ605" s="3">
        <f t="shared" si="59"/>
        <v>1.0182272491205526</v>
      </c>
    </row>
    <row r="606" spans="1:69" hidden="1" x14ac:dyDescent="0.35">
      <c r="A606">
        <v>604</v>
      </c>
      <c r="B606">
        <v>3393</v>
      </c>
      <c r="D606">
        <v>34</v>
      </c>
      <c r="E606">
        <v>4</v>
      </c>
      <c r="G606">
        <v>16766.7</v>
      </c>
      <c r="I606" t="s">
        <v>182</v>
      </c>
      <c r="L606" t="s">
        <v>183</v>
      </c>
      <c r="M606">
        <v>9.44</v>
      </c>
      <c r="N606">
        <v>39.200000000000003</v>
      </c>
      <c r="O606">
        <v>8.81</v>
      </c>
      <c r="P606" s="3">
        <f t="shared" si="54"/>
        <v>0.9332627118644069</v>
      </c>
      <c r="Q606">
        <v>30.9</v>
      </c>
      <c r="R606" s="3">
        <f t="shared" si="55"/>
        <v>0.78826530612244894</v>
      </c>
      <c r="S606">
        <v>270</v>
      </c>
      <c r="T606">
        <v>8.92685</v>
      </c>
      <c r="U606">
        <v>38.784100000000002</v>
      </c>
      <c r="V606">
        <v>8.5441199999999995</v>
      </c>
      <c r="W606" s="3">
        <f t="shared" si="56"/>
        <v>0.95712597388776555</v>
      </c>
      <c r="X606">
        <v>31.123899999999999</v>
      </c>
      <c r="Y606" s="3">
        <f t="shared" si="57"/>
        <v>0.80249122707501264</v>
      </c>
      <c r="Z606">
        <v>265.92700000000002</v>
      </c>
      <c r="AA606">
        <v>76.808000000000007</v>
      </c>
      <c r="AB606">
        <v>25</v>
      </c>
      <c r="AC606" t="s">
        <v>64</v>
      </c>
      <c r="AE606" t="s">
        <v>65</v>
      </c>
      <c r="AF606" t="s">
        <v>66</v>
      </c>
      <c r="AG606" t="s">
        <v>2569</v>
      </c>
      <c r="AH606" s="1">
        <v>0.71487268518518521</v>
      </c>
      <c r="AI606" t="s">
        <v>68</v>
      </c>
      <c r="AJ606" t="s">
        <v>69</v>
      </c>
      <c r="AO606">
        <v>7.508</v>
      </c>
      <c r="AP606">
        <v>41.165999999999997</v>
      </c>
      <c r="AQ606">
        <v>12.8</v>
      </c>
      <c r="AR606">
        <v>1.8</v>
      </c>
      <c r="AS606">
        <v>36.597999999999999</v>
      </c>
      <c r="AT606">
        <v>1.28</v>
      </c>
      <c r="AZ606" t="s">
        <v>2569</v>
      </c>
      <c r="BB606" t="s">
        <v>2569</v>
      </c>
      <c r="BD606" t="s">
        <v>68</v>
      </c>
      <c r="BE606" t="s">
        <v>2598</v>
      </c>
      <c r="BF606" t="s">
        <v>2599</v>
      </c>
      <c r="BG606" t="s">
        <v>2600</v>
      </c>
      <c r="BH606">
        <v>0</v>
      </c>
      <c r="BI606">
        <v>0</v>
      </c>
      <c r="BJ606">
        <v>1</v>
      </c>
      <c r="BK606" t="s">
        <v>2601</v>
      </c>
      <c r="BN606" t="s">
        <v>2569</v>
      </c>
      <c r="BO606" s="1">
        <v>0.71487268518518521</v>
      </c>
      <c r="BP606" s="3">
        <f t="shared" si="58"/>
        <v>1.0255697154938144</v>
      </c>
      <c r="BQ606" s="3">
        <f t="shared" si="59"/>
        <v>1.018047123020728</v>
      </c>
    </row>
    <row r="607" spans="1:69" hidden="1" x14ac:dyDescent="0.35">
      <c r="A607">
        <v>605</v>
      </c>
      <c r="B607">
        <v>3339</v>
      </c>
      <c r="D607">
        <v>34</v>
      </c>
      <c r="E607">
        <v>10</v>
      </c>
      <c r="G607">
        <v>16766.7</v>
      </c>
      <c r="I607" t="s">
        <v>182</v>
      </c>
      <c r="L607" t="s">
        <v>183</v>
      </c>
      <c r="M607">
        <v>9.9700000000000006</v>
      </c>
      <c r="N607">
        <v>39.9</v>
      </c>
      <c r="O607">
        <v>9.33</v>
      </c>
      <c r="P607" s="3">
        <f t="shared" si="54"/>
        <v>0.93580742226680036</v>
      </c>
      <c r="Q607">
        <v>31.4</v>
      </c>
      <c r="R607" s="3">
        <f t="shared" si="55"/>
        <v>0.78696741854636587</v>
      </c>
      <c r="S607">
        <v>290</v>
      </c>
      <c r="T607">
        <v>9.3601399999999995</v>
      </c>
      <c r="U607">
        <v>38.728900000000003</v>
      </c>
      <c r="V607">
        <v>8.9428199999999993</v>
      </c>
      <c r="W607" s="3">
        <f t="shared" si="56"/>
        <v>0.95541519678124476</v>
      </c>
      <c r="X607">
        <v>31.206399999999999</v>
      </c>
      <c r="Y607" s="3">
        <f t="shared" si="57"/>
        <v>0.80576520376256477</v>
      </c>
      <c r="Z607">
        <v>279.07299999999998</v>
      </c>
      <c r="AA607">
        <v>76.983000000000004</v>
      </c>
      <c r="AB607">
        <v>25</v>
      </c>
      <c r="AC607" t="s">
        <v>64</v>
      </c>
      <c r="AE607" t="s">
        <v>65</v>
      </c>
      <c r="AF607" t="s">
        <v>66</v>
      </c>
      <c r="AG607" t="s">
        <v>2559</v>
      </c>
      <c r="AH607" s="1">
        <v>0.55394675925925929</v>
      </c>
      <c r="AI607" t="s">
        <v>68</v>
      </c>
      <c r="AJ607" t="s">
        <v>69</v>
      </c>
      <c r="AO607">
        <v>7.508</v>
      </c>
      <c r="AP607">
        <v>40.527999999999999</v>
      </c>
      <c r="AQ607">
        <v>19.2</v>
      </c>
      <c r="AR607">
        <v>1.8049999999999999</v>
      </c>
      <c r="AS607">
        <v>36.212000000000003</v>
      </c>
      <c r="AT607">
        <v>76.8</v>
      </c>
      <c r="AZ607" t="s">
        <v>2559</v>
      </c>
      <c r="BB607" t="s">
        <v>2559</v>
      </c>
      <c r="BD607" t="s">
        <v>68</v>
      </c>
      <c r="BE607" t="s">
        <v>2602</v>
      </c>
      <c r="BF607" t="s">
        <v>2603</v>
      </c>
      <c r="BG607" t="s">
        <v>2604</v>
      </c>
      <c r="BH607">
        <v>0</v>
      </c>
      <c r="BI607">
        <v>0</v>
      </c>
      <c r="BJ607">
        <v>1</v>
      </c>
      <c r="BK607" t="s">
        <v>2605</v>
      </c>
      <c r="BN607" t="s">
        <v>2559</v>
      </c>
      <c r="BO607" s="1">
        <v>0.55394675925925929</v>
      </c>
      <c r="BP607" s="3">
        <f t="shared" si="58"/>
        <v>1.0209527879859603</v>
      </c>
      <c r="BQ607" s="3">
        <f t="shared" si="59"/>
        <v>1.0238863576473356</v>
      </c>
    </row>
    <row r="608" spans="1:69" hidden="1" x14ac:dyDescent="0.35">
      <c r="A608">
        <v>606</v>
      </c>
      <c r="B608">
        <v>3327</v>
      </c>
      <c r="D608">
        <v>34</v>
      </c>
      <c r="E608">
        <v>10</v>
      </c>
      <c r="G608">
        <v>16766.7</v>
      </c>
      <c r="I608" t="s">
        <v>182</v>
      </c>
      <c r="L608" t="s">
        <v>183</v>
      </c>
      <c r="M608">
        <v>9.9700000000000006</v>
      </c>
      <c r="N608">
        <v>39.9</v>
      </c>
      <c r="O608">
        <v>9.33</v>
      </c>
      <c r="P608" s="3">
        <f t="shared" si="54"/>
        <v>0.93580742226680036</v>
      </c>
      <c r="Q608">
        <v>31.4</v>
      </c>
      <c r="R608" s="3">
        <f t="shared" si="55"/>
        <v>0.78696741854636587</v>
      </c>
      <c r="S608">
        <v>290</v>
      </c>
      <c r="T608">
        <v>9.2919900000000002</v>
      </c>
      <c r="U608">
        <v>38.625399999999999</v>
      </c>
      <c r="V608">
        <v>8.8838799999999996</v>
      </c>
      <c r="W608" s="3">
        <f t="shared" si="56"/>
        <v>0.95607937589256975</v>
      </c>
      <c r="X608">
        <v>31.185099999999998</v>
      </c>
      <c r="Y608" s="3">
        <f t="shared" si="57"/>
        <v>0.80737286863048663</v>
      </c>
      <c r="Z608">
        <v>277.04500000000002</v>
      </c>
      <c r="AA608">
        <v>77.191000000000003</v>
      </c>
      <c r="AB608">
        <v>25</v>
      </c>
      <c r="AC608" t="s">
        <v>64</v>
      </c>
      <c r="AE608" t="s">
        <v>65</v>
      </c>
      <c r="AF608" t="s">
        <v>66</v>
      </c>
      <c r="AG608" t="s">
        <v>2559</v>
      </c>
      <c r="AH608" s="1">
        <v>0.41478009259259258</v>
      </c>
      <c r="AI608" t="s">
        <v>68</v>
      </c>
      <c r="AJ608" t="s">
        <v>69</v>
      </c>
      <c r="AO608">
        <v>7.508</v>
      </c>
      <c r="AP608">
        <v>39.628</v>
      </c>
      <c r="AQ608">
        <v>19.2</v>
      </c>
      <c r="AR608">
        <v>1.8</v>
      </c>
      <c r="AS608">
        <v>35.874000000000002</v>
      </c>
      <c r="AT608">
        <v>76.8</v>
      </c>
      <c r="AZ608" t="s">
        <v>2559</v>
      </c>
      <c r="BB608" t="s">
        <v>2559</v>
      </c>
      <c r="BD608" t="s">
        <v>68</v>
      </c>
      <c r="BE608" t="s">
        <v>2606</v>
      </c>
      <c r="BF608" t="s">
        <v>2607</v>
      </c>
      <c r="BG608" t="s">
        <v>2608</v>
      </c>
      <c r="BH608">
        <v>0</v>
      </c>
      <c r="BI608">
        <v>0</v>
      </c>
      <c r="BJ608">
        <v>1</v>
      </c>
      <c r="BK608" t="s">
        <v>2609</v>
      </c>
      <c r="BN608" t="s">
        <v>2559</v>
      </c>
      <c r="BO608" s="1">
        <v>0.41478009259259258</v>
      </c>
      <c r="BP608" s="3">
        <f t="shared" si="58"/>
        <v>1.0216625270791984</v>
      </c>
      <c r="BQ608" s="3">
        <f t="shared" si="59"/>
        <v>1.0259292184189943</v>
      </c>
    </row>
    <row r="609" spans="1:69" hidden="1" x14ac:dyDescent="0.35">
      <c r="A609">
        <v>607</v>
      </c>
      <c r="B609">
        <v>3333</v>
      </c>
      <c r="D609">
        <v>34</v>
      </c>
      <c r="E609">
        <v>10</v>
      </c>
      <c r="G609">
        <v>16766.7</v>
      </c>
      <c r="I609" t="s">
        <v>182</v>
      </c>
      <c r="L609" t="s">
        <v>183</v>
      </c>
      <c r="M609">
        <v>9.9700000000000006</v>
      </c>
      <c r="N609">
        <v>39.9</v>
      </c>
      <c r="O609">
        <v>9.33</v>
      </c>
      <c r="P609" s="3">
        <f t="shared" si="54"/>
        <v>0.93580742226680036</v>
      </c>
      <c r="Q609">
        <v>31.4</v>
      </c>
      <c r="R609" s="3">
        <f t="shared" si="55"/>
        <v>0.78696741854636587</v>
      </c>
      <c r="S609">
        <v>290</v>
      </c>
      <c r="T609">
        <v>9.3232599999999994</v>
      </c>
      <c r="U609">
        <v>38.699800000000003</v>
      </c>
      <c r="V609">
        <v>8.9837199999999999</v>
      </c>
      <c r="W609" s="3">
        <f t="shared" si="56"/>
        <v>0.96358140821987159</v>
      </c>
      <c r="X609">
        <v>30.741599999999998</v>
      </c>
      <c r="Y609" s="3">
        <f t="shared" si="57"/>
        <v>0.79436069437051338</v>
      </c>
      <c r="Z609">
        <v>276.17399999999998</v>
      </c>
      <c r="AA609">
        <v>76.543000000000006</v>
      </c>
      <c r="AB609">
        <v>25</v>
      </c>
      <c r="AC609" t="s">
        <v>64</v>
      </c>
      <c r="AE609" t="s">
        <v>65</v>
      </c>
      <c r="AF609" t="s">
        <v>66</v>
      </c>
      <c r="AG609" t="s">
        <v>2559</v>
      </c>
      <c r="AH609" s="1">
        <v>0.50217592592592597</v>
      </c>
      <c r="AI609" t="s">
        <v>68</v>
      </c>
      <c r="AJ609" t="s">
        <v>69</v>
      </c>
      <c r="AO609">
        <v>7.508</v>
      </c>
      <c r="AP609">
        <v>40.527999999999999</v>
      </c>
      <c r="AQ609">
        <v>19.2</v>
      </c>
      <c r="AR609">
        <v>1.8049999999999999</v>
      </c>
      <c r="AS609">
        <v>36.212000000000003</v>
      </c>
      <c r="AT609">
        <v>76.8</v>
      </c>
      <c r="AZ609" t="s">
        <v>2559</v>
      </c>
      <c r="BB609" t="s">
        <v>2559</v>
      </c>
      <c r="BD609" t="s">
        <v>68</v>
      </c>
      <c r="BE609" t="s">
        <v>2610</v>
      </c>
      <c r="BF609" t="s">
        <v>2611</v>
      </c>
      <c r="BG609" t="s">
        <v>2612</v>
      </c>
      <c r="BH609">
        <v>0</v>
      </c>
      <c r="BI609">
        <v>0</v>
      </c>
      <c r="BJ609">
        <v>1</v>
      </c>
      <c r="BK609" t="s">
        <v>2613</v>
      </c>
      <c r="BN609" t="s">
        <v>2559</v>
      </c>
      <c r="BO609" s="1">
        <v>0.50217592592592597</v>
      </c>
      <c r="BP609" s="3">
        <f t="shared" si="58"/>
        <v>1.0296791682692519</v>
      </c>
      <c r="BQ609" s="3">
        <f t="shared" si="59"/>
        <v>1.0093946402988372</v>
      </c>
    </row>
    <row r="610" spans="1:69" hidden="1" x14ac:dyDescent="0.35">
      <c r="A610">
        <v>608</v>
      </c>
      <c r="B610">
        <v>3359</v>
      </c>
      <c r="D610">
        <v>36</v>
      </c>
      <c r="E610">
        <v>4</v>
      </c>
      <c r="G610">
        <v>21620.799999999999</v>
      </c>
      <c r="I610" t="s">
        <v>182</v>
      </c>
      <c r="L610" t="s">
        <v>183</v>
      </c>
      <c r="P610" s="3" t="e">
        <f t="shared" si="54"/>
        <v>#DIV/0!</v>
      </c>
      <c r="R610" s="3" t="e">
        <f t="shared" si="55"/>
        <v>#DIV/0!</v>
      </c>
      <c r="T610">
        <v>6.0855399999999999</v>
      </c>
      <c r="U610">
        <v>92.700699999999998</v>
      </c>
      <c r="V610">
        <v>5.68553</v>
      </c>
      <c r="W610" s="3">
        <f t="shared" si="56"/>
        <v>0.93426877483345772</v>
      </c>
      <c r="X610">
        <v>78.877700000000004</v>
      </c>
      <c r="Y610" s="3">
        <f t="shared" si="57"/>
        <v>0.85088569989223384</v>
      </c>
      <c r="Z610">
        <v>448.46199999999999</v>
      </c>
      <c r="AA610">
        <v>79.495000000000005</v>
      </c>
      <c r="AB610">
        <v>25</v>
      </c>
      <c r="AC610" t="s">
        <v>64</v>
      </c>
      <c r="AE610" t="s">
        <v>65</v>
      </c>
      <c r="AF610" t="s">
        <v>66</v>
      </c>
      <c r="AG610" t="s">
        <v>2614</v>
      </c>
      <c r="AH610" s="1">
        <v>0.35460648148148149</v>
      </c>
      <c r="AI610" t="s">
        <v>68</v>
      </c>
      <c r="AJ610" t="s">
        <v>69</v>
      </c>
      <c r="AO610">
        <v>4.8109999999999999</v>
      </c>
      <c r="AP610">
        <v>94.423000000000002</v>
      </c>
      <c r="AQ610">
        <v>1.2</v>
      </c>
      <c r="AR610">
        <v>1.206</v>
      </c>
      <c r="AS610">
        <v>87.893000000000001</v>
      </c>
      <c r="AT610">
        <v>4.8</v>
      </c>
      <c r="AZ610" t="s">
        <v>2614</v>
      </c>
      <c r="BB610" t="s">
        <v>2614</v>
      </c>
      <c r="BD610" t="s">
        <v>68</v>
      </c>
      <c r="BE610" t="s">
        <v>2615</v>
      </c>
      <c r="BF610" t="s">
        <v>2616</v>
      </c>
      <c r="BG610" t="s">
        <v>2617</v>
      </c>
      <c r="BH610">
        <v>0</v>
      </c>
      <c r="BI610">
        <v>0</v>
      </c>
      <c r="BJ610">
        <v>1</v>
      </c>
      <c r="BK610" t="s">
        <v>2618</v>
      </c>
      <c r="BN610" t="s">
        <v>2614</v>
      </c>
      <c r="BO610" s="1">
        <v>0.35460648148148149</v>
      </c>
      <c r="BP610" t="e">
        <f t="shared" si="58"/>
        <v>#DIV/0!</v>
      </c>
      <c r="BQ610" t="e">
        <f t="shared" si="59"/>
        <v>#DIV/0!</v>
      </c>
    </row>
    <row r="611" spans="1:69" hidden="1" x14ac:dyDescent="0.35">
      <c r="A611">
        <v>609</v>
      </c>
      <c r="B611">
        <v>3360</v>
      </c>
      <c r="D611">
        <v>36</v>
      </c>
      <c r="E611">
        <v>4</v>
      </c>
      <c r="G611">
        <v>21620.799999999999</v>
      </c>
      <c r="I611" t="s">
        <v>182</v>
      </c>
      <c r="L611" t="s">
        <v>183</v>
      </c>
      <c r="P611" s="3" t="e">
        <f t="shared" si="54"/>
        <v>#DIV/0!</v>
      </c>
      <c r="R611" s="3" t="e">
        <f t="shared" si="55"/>
        <v>#DIV/0!</v>
      </c>
      <c r="T611">
        <v>6.0946800000000003</v>
      </c>
      <c r="U611">
        <v>92.729699999999994</v>
      </c>
      <c r="V611">
        <v>5.6867400000000004</v>
      </c>
      <c r="W611" s="3">
        <f t="shared" si="56"/>
        <v>0.9330662151253224</v>
      </c>
      <c r="X611">
        <v>79.046099999999996</v>
      </c>
      <c r="Y611" s="3">
        <f t="shared" si="57"/>
        <v>0.85243562742034107</v>
      </c>
      <c r="Z611">
        <v>449.51499999999999</v>
      </c>
      <c r="AA611">
        <v>79.537000000000006</v>
      </c>
      <c r="AB611">
        <v>25</v>
      </c>
      <c r="AC611" t="s">
        <v>64</v>
      </c>
      <c r="AE611" t="s">
        <v>65</v>
      </c>
      <c r="AF611" t="s">
        <v>66</v>
      </c>
      <c r="AG611" t="s">
        <v>2614</v>
      </c>
      <c r="AH611" s="1">
        <v>0.38050925925925927</v>
      </c>
      <c r="AI611" t="s">
        <v>68</v>
      </c>
      <c r="AJ611" t="s">
        <v>69</v>
      </c>
      <c r="AO611">
        <v>4.806</v>
      </c>
      <c r="AP611">
        <v>94.436000000000007</v>
      </c>
      <c r="AQ611">
        <v>1.2</v>
      </c>
      <c r="AR611">
        <v>1.206</v>
      </c>
      <c r="AS611">
        <v>88.117999999999995</v>
      </c>
      <c r="AT611">
        <v>4.8</v>
      </c>
      <c r="AZ611" t="s">
        <v>2614</v>
      </c>
      <c r="BB611" t="s">
        <v>2614</v>
      </c>
      <c r="BD611" t="s">
        <v>68</v>
      </c>
      <c r="BE611" t="s">
        <v>2619</v>
      </c>
      <c r="BF611" t="s">
        <v>2620</v>
      </c>
      <c r="BG611" t="s">
        <v>2621</v>
      </c>
      <c r="BH611">
        <v>0</v>
      </c>
      <c r="BI611">
        <v>0</v>
      </c>
      <c r="BJ611">
        <v>1</v>
      </c>
      <c r="BK611" t="s">
        <v>2622</v>
      </c>
      <c r="BN611" t="s">
        <v>2614</v>
      </c>
      <c r="BO611" s="1">
        <v>0.38050925925925927</v>
      </c>
      <c r="BP611" t="e">
        <f t="shared" si="58"/>
        <v>#DIV/0!</v>
      </c>
      <c r="BQ611" t="e">
        <f t="shared" si="59"/>
        <v>#DIV/0!</v>
      </c>
    </row>
    <row r="612" spans="1:69" hidden="1" x14ac:dyDescent="0.35">
      <c r="A612">
        <v>610</v>
      </c>
      <c r="B612">
        <v>3371</v>
      </c>
      <c r="D612">
        <v>36</v>
      </c>
      <c r="E612">
        <v>7</v>
      </c>
      <c r="G612">
        <v>21620.799999999999</v>
      </c>
      <c r="I612" t="s">
        <v>182</v>
      </c>
      <c r="L612" t="s">
        <v>183</v>
      </c>
      <c r="P612" s="3" t="e">
        <f t="shared" si="54"/>
        <v>#DIV/0!</v>
      </c>
      <c r="R612" s="3" t="e">
        <f t="shared" si="55"/>
        <v>#DIV/0!</v>
      </c>
      <c r="T612">
        <v>6.109</v>
      </c>
      <c r="U612">
        <v>86.496099999999998</v>
      </c>
      <c r="V612">
        <v>5.7900799999999997</v>
      </c>
      <c r="W612" s="3">
        <f t="shared" si="56"/>
        <v>0.9477950564740546</v>
      </c>
      <c r="X612">
        <v>72.677999999999997</v>
      </c>
      <c r="Y612" s="3">
        <f t="shared" si="57"/>
        <v>0.84024597640818488</v>
      </c>
      <c r="Z612">
        <v>420.81200000000001</v>
      </c>
      <c r="AA612">
        <v>79.638000000000005</v>
      </c>
      <c r="AB612">
        <v>25</v>
      </c>
      <c r="AC612" t="s">
        <v>64</v>
      </c>
      <c r="AE612" t="s">
        <v>65</v>
      </c>
      <c r="AF612" t="s">
        <v>66</v>
      </c>
      <c r="AG612" t="s">
        <v>2614</v>
      </c>
      <c r="AH612" s="1">
        <v>0.54408564814814819</v>
      </c>
      <c r="AI612" t="s">
        <v>68</v>
      </c>
      <c r="AJ612" t="s">
        <v>69</v>
      </c>
      <c r="AO612">
        <v>4.8109999999999999</v>
      </c>
      <c r="AP612">
        <v>88.043000000000006</v>
      </c>
      <c r="AQ612">
        <v>6.4</v>
      </c>
      <c r="AR612">
        <v>1.206</v>
      </c>
      <c r="AS612">
        <v>81.474999999999994</v>
      </c>
      <c r="AT612">
        <v>19.2</v>
      </c>
      <c r="AZ612" t="s">
        <v>2473</v>
      </c>
      <c r="BB612" t="s">
        <v>2473</v>
      </c>
      <c r="BD612" t="s">
        <v>68</v>
      </c>
      <c r="BE612" t="s">
        <v>2623</v>
      </c>
      <c r="BF612" t="s">
        <v>2624</v>
      </c>
      <c r="BG612" t="s">
        <v>2625</v>
      </c>
      <c r="BH612">
        <v>0</v>
      </c>
      <c r="BI612">
        <v>0</v>
      </c>
      <c r="BJ612">
        <v>1</v>
      </c>
      <c r="BK612" t="s">
        <v>2626</v>
      </c>
      <c r="BN612" t="s">
        <v>2614</v>
      </c>
      <c r="BO612" s="1">
        <v>0.54175925925925927</v>
      </c>
      <c r="BP612" t="e">
        <f t="shared" si="58"/>
        <v>#DIV/0!</v>
      </c>
      <c r="BQ612" t="e">
        <f t="shared" si="59"/>
        <v>#DIV/0!</v>
      </c>
    </row>
    <row r="613" spans="1:69" hidden="1" x14ac:dyDescent="0.35">
      <c r="A613">
        <v>611</v>
      </c>
      <c r="B613">
        <v>3373</v>
      </c>
      <c r="D613">
        <v>36</v>
      </c>
      <c r="E613">
        <v>7</v>
      </c>
      <c r="G613">
        <v>21620.799999999999</v>
      </c>
      <c r="I613" t="s">
        <v>182</v>
      </c>
      <c r="L613" t="s">
        <v>183</v>
      </c>
      <c r="P613" s="3" t="e">
        <f t="shared" si="54"/>
        <v>#DIV/0!</v>
      </c>
      <c r="R613" s="3" t="e">
        <f t="shared" si="55"/>
        <v>#DIV/0!</v>
      </c>
      <c r="T613">
        <v>6.0926200000000001</v>
      </c>
      <c r="U613">
        <v>86.347700000000003</v>
      </c>
      <c r="V613">
        <v>5.7584600000000004</v>
      </c>
      <c r="W613" s="3">
        <f t="shared" si="56"/>
        <v>0.94515331663553614</v>
      </c>
      <c r="X613">
        <v>72.899799999999999</v>
      </c>
      <c r="Y613" s="3">
        <f t="shared" si="57"/>
        <v>0.84425873532242313</v>
      </c>
      <c r="Z613">
        <v>419.791</v>
      </c>
      <c r="AA613">
        <v>79.795000000000002</v>
      </c>
      <c r="AB613">
        <v>25</v>
      </c>
      <c r="AC613" t="s">
        <v>64</v>
      </c>
      <c r="AE613" t="s">
        <v>65</v>
      </c>
      <c r="AF613" t="s">
        <v>66</v>
      </c>
      <c r="AG613" t="s">
        <v>2614</v>
      </c>
      <c r="AH613" s="1">
        <v>0.61195601851851855</v>
      </c>
      <c r="AI613" t="s">
        <v>68</v>
      </c>
      <c r="AJ613" t="s">
        <v>69</v>
      </c>
      <c r="AO613">
        <v>4.8109999999999999</v>
      </c>
      <c r="AP613">
        <v>88.117999999999995</v>
      </c>
      <c r="AQ613">
        <v>6.4</v>
      </c>
      <c r="AR613">
        <v>1.206</v>
      </c>
      <c r="AS613">
        <v>81.474999999999994</v>
      </c>
      <c r="AT613">
        <v>25.6</v>
      </c>
      <c r="AZ613" t="s">
        <v>2614</v>
      </c>
      <c r="BB613" t="s">
        <v>2614</v>
      </c>
      <c r="BD613" t="s">
        <v>68</v>
      </c>
      <c r="BE613" t="s">
        <v>2627</v>
      </c>
      <c r="BF613" t="s">
        <v>2628</v>
      </c>
      <c r="BG613" t="s">
        <v>2629</v>
      </c>
      <c r="BH613">
        <v>0</v>
      </c>
      <c r="BI613">
        <v>0</v>
      </c>
      <c r="BJ613">
        <v>1</v>
      </c>
      <c r="BK613" t="s">
        <v>2630</v>
      </c>
      <c r="BN613" t="s">
        <v>2614</v>
      </c>
      <c r="BO613" s="1">
        <v>0.60574074074074069</v>
      </c>
      <c r="BP613" t="e">
        <f t="shared" si="58"/>
        <v>#DIV/0!</v>
      </c>
      <c r="BQ613" t="e">
        <f t="shared" si="59"/>
        <v>#DIV/0!</v>
      </c>
    </row>
    <row r="614" spans="1:69" hidden="1" x14ac:dyDescent="0.35">
      <c r="A614">
        <v>612</v>
      </c>
      <c r="B614">
        <v>3366</v>
      </c>
      <c r="D614">
        <v>36</v>
      </c>
      <c r="E614">
        <v>5</v>
      </c>
      <c r="G614">
        <v>21620.799999999999</v>
      </c>
      <c r="I614" t="s">
        <v>182</v>
      </c>
      <c r="L614" t="s">
        <v>183</v>
      </c>
      <c r="P614" s="3" t="e">
        <f t="shared" si="54"/>
        <v>#DIV/0!</v>
      </c>
      <c r="R614" s="3" t="e">
        <f t="shared" si="55"/>
        <v>#DIV/0!</v>
      </c>
      <c r="T614">
        <v>6.0304200000000003</v>
      </c>
      <c r="U614">
        <v>69.500299999999996</v>
      </c>
      <c r="V614">
        <v>5.6468100000000003</v>
      </c>
      <c r="W614" s="3">
        <f t="shared" si="56"/>
        <v>0.93638751529744202</v>
      </c>
      <c r="X614">
        <v>59.215299999999999</v>
      </c>
      <c r="Y614" s="3">
        <f t="shared" si="57"/>
        <v>0.85201502727326361</v>
      </c>
      <c r="Z614">
        <v>334.37799999999999</v>
      </c>
      <c r="AA614">
        <v>79.781000000000006</v>
      </c>
      <c r="AB614">
        <v>25</v>
      </c>
      <c r="AC614" t="s">
        <v>64</v>
      </c>
      <c r="AE614" t="s">
        <v>65</v>
      </c>
      <c r="AF614" t="s">
        <v>66</v>
      </c>
      <c r="AG614" t="s">
        <v>2614</v>
      </c>
      <c r="AH614" s="1">
        <v>0.41820601851851852</v>
      </c>
      <c r="AI614" t="s">
        <v>68</v>
      </c>
      <c r="AJ614" t="s">
        <v>69</v>
      </c>
      <c r="AO614">
        <v>4.8109999999999999</v>
      </c>
      <c r="AP614">
        <v>71.116</v>
      </c>
      <c r="AQ614">
        <v>1.2</v>
      </c>
      <c r="AR614">
        <v>1.206</v>
      </c>
      <c r="AS614">
        <v>66.162000000000006</v>
      </c>
      <c r="AT614">
        <v>4.8</v>
      </c>
      <c r="AZ614" t="s">
        <v>2614</v>
      </c>
      <c r="BB614" t="s">
        <v>2614</v>
      </c>
      <c r="BD614" t="s">
        <v>68</v>
      </c>
      <c r="BE614" t="s">
        <v>2631</v>
      </c>
      <c r="BF614" t="s">
        <v>2632</v>
      </c>
      <c r="BG614" t="s">
        <v>2633</v>
      </c>
      <c r="BH614">
        <v>0</v>
      </c>
      <c r="BI614">
        <v>0</v>
      </c>
      <c r="BJ614">
        <v>1</v>
      </c>
      <c r="BK614" t="s">
        <v>2634</v>
      </c>
      <c r="BN614" t="s">
        <v>2614</v>
      </c>
      <c r="BO614" s="1">
        <v>0.41484953703703703</v>
      </c>
      <c r="BP614" t="e">
        <f t="shared" si="58"/>
        <v>#DIV/0!</v>
      </c>
      <c r="BQ614" t="e">
        <f t="shared" si="59"/>
        <v>#DIV/0!</v>
      </c>
    </row>
    <row r="615" spans="1:69" hidden="1" x14ac:dyDescent="0.35">
      <c r="A615">
        <v>613</v>
      </c>
      <c r="B615">
        <v>3375</v>
      </c>
      <c r="D615">
        <v>36</v>
      </c>
      <c r="E615">
        <v>5</v>
      </c>
      <c r="G615">
        <v>21620.799999999999</v>
      </c>
      <c r="I615" t="s">
        <v>182</v>
      </c>
      <c r="L615" t="s">
        <v>183</v>
      </c>
      <c r="P615" s="3" t="e">
        <f t="shared" si="54"/>
        <v>#DIV/0!</v>
      </c>
      <c r="R615" s="3" t="e">
        <f t="shared" si="55"/>
        <v>#DIV/0!</v>
      </c>
      <c r="T615">
        <v>6.0314300000000003</v>
      </c>
      <c r="U615">
        <v>92.622399999999999</v>
      </c>
      <c r="V615">
        <v>5.65815</v>
      </c>
      <c r="W615" s="3">
        <f t="shared" si="56"/>
        <v>0.93811086259809029</v>
      </c>
      <c r="X615">
        <v>78.770799999999994</v>
      </c>
      <c r="Y615" s="3">
        <f t="shared" si="57"/>
        <v>0.85045086285822857</v>
      </c>
      <c r="Z615">
        <v>445.697</v>
      </c>
      <c r="AA615">
        <v>79.781000000000006</v>
      </c>
      <c r="AB615">
        <v>25</v>
      </c>
      <c r="AC615" t="s">
        <v>64</v>
      </c>
      <c r="AE615" t="s">
        <v>65</v>
      </c>
      <c r="AF615" t="s">
        <v>66</v>
      </c>
      <c r="AG615" t="s">
        <v>2614</v>
      </c>
      <c r="AH615" s="1">
        <v>0.67395833333333333</v>
      </c>
      <c r="AI615" t="s">
        <v>68</v>
      </c>
      <c r="AJ615" t="s">
        <v>69</v>
      </c>
      <c r="AO615">
        <v>4.806</v>
      </c>
      <c r="AP615">
        <v>94.686000000000007</v>
      </c>
      <c r="AQ615">
        <v>1.2</v>
      </c>
      <c r="AR615">
        <v>1.206</v>
      </c>
      <c r="AS615">
        <v>88.081000000000003</v>
      </c>
      <c r="AT615">
        <v>4.8</v>
      </c>
      <c r="AZ615" t="s">
        <v>2614</v>
      </c>
      <c r="BB615" t="s">
        <v>2614</v>
      </c>
      <c r="BD615" t="s">
        <v>68</v>
      </c>
      <c r="BE615" t="s">
        <v>2635</v>
      </c>
      <c r="BF615" t="s">
        <v>2636</v>
      </c>
      <c r="BG615" t="s">
        <v>2637</v>
      </c>
      <c r="BH615">
        <v>0</v>
      </c>
      <c r="BI615">
        <v>0</v>
      </c>
      <c r="BJ615">
        <v>1</v>
      </c>
      <c r="BK615" t="s">
        <v>2638</v>
      </c>
      <c r="BN615" t="s">
        <v>2614</v>
      </c>
      <c r="BO615" s="1">
        <v>0.67122685185185182</v>
      </c>
      <c r="BP615" t="e">
        <f t="shared" si="58"/>
        <v>#DIV/0!</v>
      </c>
      <c r="BQ615" t="e">
        <f t="shared" si="59"/>
        <v>#DIV/0!</v>
      </c>
    </row>
    <row r="616" spans="1:69" hidden="1" x14ac:dyDescent="0.35">
      <c r="A616">
        <v>614</v>
      </c>
      <c r="B616">
        <v>3354</v>
      </c>
      <c r="D616">
        <v>36</v>
      </c>
      <c r="E616">
        <v>6</v>
      </c>
      <c r="G616">
        <v>21620.799999999999</v>
      </c>
      <c r="I616" t="s">
        <v>182</v>
      </c>
      <c r="L616" t="s">
        <v>183</v>
      </c>
      <c r="P616" s="3" t="e">
        <f t="shared" si="54"/>
        <v>#DIV/0!</v>
      </c>
      <c r="R616" s="3" t="e">
        <f t="shared" si="55"/>
        <v>#DIV/0!</v>
      </c>
      <c r="T616">
        <v>6.1597999999999997</v>
      </c>
      <c r="U616">
        <v>86.226799999999997</v>
      </c>
      <c r="V616">
        <v>5.7984900000000001</v>
      </c>
      <c r="W616" s="3">
        <f t="shared" si="56"/>
        <v>0.94134387480113002</v>
      </c>
      <c r="X616">
        <v>72.664500000000004</v>
      </c>
      <c r="Y616" s="3">
        <f t="shared" si="57"/>
        <v>0.84271363427611845</v>
      </c>
      <c r="Z616">
        <v>421.34500000000003</v>
      </c>
      <c r="AA616">
        <v>79.328000000000003</v>
      </c>
      <c r="AB616">
        <v>25</v>
      </c>
      <c r="AC616" t="s">
        <v>64</v>
      </c>
      <c r="AE616" t="s">
        <v>65</v>
      </c>
      <c r="AF616" t="s">
        <v>66</v>
      </c>
      <c r="AG616" t="s">
        <v>2554</v>
      </c>
      <c r="AH616" s="1">
        <v>0.601099537037037</v>
      </c>
      <c r="AI616" t="s">
        <v>68</v>
      </c>
      <c r="AJ616" t="s">
        <v>69</v>
      </c>
      <c r="AO616">
        <v>4.9059999999999997</v>
      </c>
      <c r="AP616">
        <v>87.292000000000002</v>
      </c>
      <c r="AQ616">
        <v>9.6</v>
      </c>
      <c r="AR616">
        <v>1.206</v>
      </c>
      <c r="AS616">
        <v>80.762</v>
      </c>
      <c r="AT616">
        <v>38.4</v>
      </c>
      <c r="AZ616" t="s">
        <v>2554</v>
      </c>
      <c r="BB616" t="s">
        <v>2554</v>
      </c>
      <c r="BD616" t="s">
        <v>68</v>
      </c>
      <c r="BE616" t="s">
        <v>2639</v>
      </c>
      <c r="BF616" t="s">
        <v>2640</v>
      </c>
      <c r="BG616" t="s">
        <v>2641</v>
      </c>
      <c r="BH616">
        <v>0</v>
      </c>
      <c r="BI616">
        <v>0</v>
      </c>
      <c r="BJ616">
        <v>1</v>
      </c>
      <c r="BK616" t="s">
        <v>2642</v>
      </c>
      <c r="BN616" t="s">
        <v>2554</v>
      </c>
      <c r="BO616" s="1">
        <v>0.601099537037037</v>
      </c>
      <c r="BP616" t="e">
        <f t="shared" si="58"/>
        <v>#DIV/0!</v>
      </c>
      <c r="BQ616" t="e">
        <f t="shared" si="59"/>
        <v>#DIV/0!</v>
      </c>
    </row>
    <row r="617" spans="1:69" hidden="1" x14ac:dyDescent="0.35">
      <c r="A617">
        <v>615</v>
      </c>
      <c r="B617">
        <v>3358</v>
      </c>
      <c r="D617">
        <v>36</v>
      </c>
      <c r="E617">
        <v>6</v>
      </c>
      <c r="G617">
        <v>21620.799999999999</v>
      </c>
      <c r="I617" t="s">
        <v>182</v>
      </c>
      <c r="L617" t="s">
        <v>183</v>
      </c>
      <c r="P617" s="3" t="e">
        <f t="shared" si="54"/>
        <v>#DIV/0!</v>
      </c>
      <c r="R617" s="3" t="e">
        <f t="shared" si="55"/>
        <v>#DIV/0!</v>
      </c>
      <c r="T617">
        <v>6.1735600000000002</v>
      </c>
      <c r="U617">
        <v>85.660499999999999</v>
      </c>
      <c r="V617">
        <v>5.8047800000000001</v>
      </c>
      <c r="W617" s="3">
        <f t="shared" si="56"/>
        <v>0.94026461231445069</v>
      </c>
      <c r="X617">
        <v>72.042599999999993</v>
      </c>
      <c r="Y617" s="3">
        <f t="shared" si="57"/>
        <v>0.84102474302624886</v>
      </c>
      <c r="Z617">
        <v>418.19200000000001</v>
      </c>
      <c r="AA617">
        <v>79.078000000000003</v>
      </c>
      <c r="AB617">
        <v>25</v>
      </c>
      <c r="AC617" t="s">
        <v>64</v>
      </c>
      <c r="AE617" t="s">
        <v>65</v>
      </c>
      <c r="AF617" t="s">
        <v>66</v>
      </c>
      <c r="AG617" t="s">
        <v>2554</v>
      </c>
      <c r="AH617" s="1">
        <v>0.69917824074074075</v>
      </c>
      <c r="AI617" t="s">
        <v>68</v>
      </c>
      <c r="AJ617" t="s">
        <v>69</v>
      </c>
      <c r="AO617">
        <v>4.9000000000000004</v>
      </c>
      <c r="AP617">
        <v>88.117999999999995</v>
      </c>
      <c r="AQ617">
        <v>9.6</v>
      </c>
      <c r="AR617">
        <v>1.206</v>
      </c>
      <c r="AS617">
        <v>81.55</v>
      </c>
      <c r="AT617">
        <v>38.4</v>
      </c>
      <c r="AZ617" t="s">
        <v>2554</v>
      </c>
      <c r="BB617" t="s">
        <v>2554</v>
      </c>
      <c r="BD617" t="s">
        <v>68</v>
      </c>
      <c r="BE617" t="s">
        <v>2643</v>
      </c>
      <c r="BF617" t="s">
        <v>2644</v>
      </c>
      <c r="BG617" t="s">
        <v>2645</v>
      </c>
      <c r="BH617">
        <v>0</v>
      </c>
      <c r="BI617">
        <v>0</v>
      </c>
      <c r="BJ617">
        <v>1</v>
      </c>
      <c r="BK617" t="s">
        <v>2646</v>
      </c>
      <c r="BN617" t="s">
        <v>2554</v>
      </c>
      <c r="BO617" s="1">
        <v>0.69917824074074075</v>
      </c>
      <c r="BP617" t="e">
        <f t="shared" si="58"/>
        <v>#DIV/0!</v>
      </c>
      <c r="BQ617" t="e">
        <f t="shared" si="59"/>
        <v>#DIV/0!</v>
      </c>
    </row>
  </sheetData>
  <autoFilter ref="A1:BQ617" xr:uid="{59492563-894D-4889-9BEA-0C6F26AB0742}">
    <filterColumn colId="1">
      <filters>
        <filter val="3249"/>
      </filters>
    </filterColumn>
    <filterColumn colId="68">
      <filters>
        <filter val="0.967642916"/>
        <filter val="0.968878656"/>
        <filter val="0.971787567"/>
        <filter val="0.972003779"/>
        <filter val="0.972145621"/>
        <filter val="0.97216646"/>
        <filter val="0.97253876"/>
        <filter val="0.972672836"/>
        <filter val="0.973053904"/>
        <filter val="0.973112641"/>
        <filter val="0.9731347"/>
        <filter val="0.973252554"/>
        <filter val="0.973575375"/>
        <filter val="0.973650815"/>
        <filter val="0.973768458"/>
        <filter val="0.973921575"/>
        <filter val="0.974115832"/>
        <filter val="0.974163965"/>
        <filter val="0.974319912"/>
        <filter val="0.974367306"/>
        <filter val="0.975641778"/>
        <filter val="0.975904406"/>
        <filter val="0.975995156"/>
        <filter val="0.976770621"/>
        <filter val="0.976882261"/>
        <filter val="0.97729644"/>
        <filter val="0.977447089"/>
        <filter val="0.977733841"/>
        <filter val="0.977960558"/>
        <filter val="0.977977206"/>
        <filter val="0.977985498"/>
        <filter val="0.978134642"/>
        <filter val="0.978243416"/>
        <filter val="0.978256953"/>
        <filter val="0.978304446"/>
        <filter val="0.978622377"/>
        <filter val="0.978637843"/>
        <filter val="0.978801219"/>
        <filter val="0.978996336"/>
        <filter val="0.979138856"/>
        <filter val="0.980104433"/>
        <filter val="0.980576247"/>
        <filter val="0.980591055"/>
        <filter val="0.980839579"/>
        <filter val="0.981110176"/>
        <filter val="0.981532596"/>
        <filter val="0.982117647"/>
        <filter val="0.982685992"/>
        <filter val="0.983072738"/>
        <filter val="0.98312816"/>
        <filter val="0.983385223"/>
        <filter val="0.983577504"/>
        <filter val="0.983829463"/>
        <filter val="0.984020485"/>
        <filter val="0.984085712"/>
        <filter val="0.984338198"/>
        <filter val="0.98448127"/>
        <filter val="0.984528596"/>
        <filter val="0.984703274"/>
        <filter val="0.98505676"/>
        <filter val="0.985728159"/>
        <filter val="0.985861237"/>
        <filter val="0.98586791"/>
        <filter val="0.985993495"/>
        <filter val="0.986247181"/>
        <filter val="0.986761247"/>
        <filter val="0.986878734"/>
        <filter val="0.987149166"/>
        <filter val="0.987222888"/>
        <filter val="0.987241989"/>
        <filter val="0.987411288"/>
        <filter val="0.987469365"/>
        <filter val="0.987536879"/>
        <filter val="0.987599625"/>
        <filter val="0.987648569"/>
        <filter val="0.987659665"/>
        <filter val="0.987723912"/>
        <filter val="0.987747799"/>
        <filter val="0.987794884"/>
        <filter val="0.987799034"/>
        <filter val="0.98789942"/>
        <filter val="0.987924387"/>
        <filter val="0.988258299"/>
        <filter val="0.988408649"/>
        <filter val="0.988470065"/>
        <filter val="0.988530143"/>
        <filter val="0.98853255"/>
        <filter val="0.988674936"/>
        <filter val="0.988849046"/>
        <filter val="0.988870153"/>
        <filter val="0.989018212"/>
        <filter val="0.989108488"/>
        <filter val="0.989143701"/>
        <filter val="0.989152783"/>
        <filter val="0.98918269"/>
        <filter val="0.989239383"/>
        <filter val="0.989423703"/>
        <filter val="0.989430996"/>
        <filter val="0.989468744"/>
        <filter val="0.989491483"/>
        <filter val="0.989617307"/>
        <filter val="0.989664447"/>
        <filter val="0.989674328"/>
        <filter val="0.9897768"/>
        <filter val="0.989783472"/>
        <filter val="0.989804965"/>
        <filter val="0.989864379"/>
        <filter val="0.989875259"/>
        <filter val="0.98994372"/>
        <filter val="0.989983548"/>
        <filter val="0.990043016"/>
        <filter val="0.990065346"/>
        <filter val="0.990174728"/>
        <filter val="0.990245942"/>
        <filter val="0.990251262"/>
        <filter val="0.990501168"/>
        <filter val="0.990514121"/>
        <filter val="0.990643896"/>
        <filter val="0.990670074"/>
        <filter val="0.990745138"/>
        <filter val="0.990821314"/>
        <filter val="0.990918848"/>
        <filter val="0.990933834"/>
        <filter val="0.991021597"/>
        <filter val="0.991029795"/>
        <filter val="0.991097552"/>
        <filter val="0.991098909"/>
        <filter val="0.991105343"/>
        <filter val="0.991263921"/>
        <filter val="0.991348742"/>
        <filter val="0.991350827"/>
        <filter val="0.99140028"/>
        <filter val="0.991420889"/>
        <filter val="0.99155158"/>
        <filter val="0.991582141"/>
        <filter val="0.991622917"/>
        <filter val="0.991684476"/>
        <filter val="0.99173008"/>
        <filter val="0.991752986"/>
        <filter val="0.991875934"/>
        <filter val="0.99194669"/>
        <filter val="0.991971446"/>
        <filter val="0.992071862"/>
        <filter val="0.992184088"/>
        <filter val="0.992197526"/>
        <filter val="0.992219326"/>
        <filter val="0.992327538"/>
        <filter val="0.992410661"/>
        <filter val="0.992431896"/>
        <filter val="0.992468456"/>
        <filter val="0.992639327"/>
        <filter val="0.992672448"/>
        <filter val="0.992715595"/>
        <filter val="0.992720699"/>
        <filter val="0.992737003"/>
        <filter val="0.992773981"/>
        <filter val="0.992778564"/>
        <filter val="0.99279417"/>
        <filter val="0.992848999"/>
        <filter val="0.992879924"/>
        <filter val="0.992915833"/>
        <filter val="0.992962873"/>
        <filter val="0.992977318"/>
        <filter val="0.993041981"/>
        <filter val="0.993083609"/>
        <filter val="0.993301768"/>
        <filter val="0.993339464"/>
        <filter val="0.993540308"/>
        <filter val="0.993544932"/>
        <filter val="0.993549054"/>
        <filter val="0.993622582"/>
        <filter val="0.993628319"/>
        <filter val="0.9936315"/>
        <filter val="0.993706201"/>
        <filter val="0.993768631"/>
        <filter val="0.993822061"/>
        <filter val="0.993838652"/>
        <filter val="0.993871896"/>
        <filter val="0.993907618"/>
        <filter val="0.993943441"/>
        <filter val="0.993991117"/>
        <filter val="0.994014822"/>
        <filter val="0.994072621"/>
        <filter val="0.994090448"/>
        <filter val="0.994205281"/>
        <filter val="0.99448093"/>
        <filter val="0.994578483"/>
        <filter val="0.994584251"/>
        <filter val="0.994595212"/>
        <filter val="0.994701816"/>
        <filter val="0.994725292"/>
        <filter val="0.994750822"/>
        <filter val="0.994801097"/>
        <filter val="0.994809054"/>
        <filter val="0.995040589"/>
        <filter val="0.995073628"/>
        <filter val="0.995082622"/>
        <filter val="0.995109473"/>
        <filter val="0.995323069"/>
        <filter val="0.995360533"/>
        <filter val="0.995406539"/>
        <filter val="0.995433618"/>
        <filter val="0.995454758"/>
        <filter val="0.995500769"/>
        <filter val="0.995507516"/>
        <filter val="0.995571164"/>
        <filter val="0.99562247"/>
        <filter val="0.995633168"/>
        <filter val="0.995647199"/>
        <filter val="0.995667149"/>
        <filter val="0.995704754"/>
        <filter val="0.995743876"/>
        <filter val="0.995779221"/>
        <filter val="0.995890941"/>
        <filter val="0.995890972"/>
        <filter val="0.995912307"/>
        <filter val="0.995916729"/>
        <filter val="0.995949457"/>
        <filter val="0.995960964"/>
        <filter val="0.99603821"/>
        <filter val="0.996057819"/>
        <filter val="0.996066841"/>
        <filter val="0.996091593"/>
        <filter val="0.996102689"/>
        <filter val="0.996123401"/>
        <filter val="0.996139418"/>
        <filter val="0.996242409"/>
        <filter val="0.996254033"/>
        <filter val="0.996353436"/>
        <filter val="0.996360498"/>
        <filter val="0.996371052"/>
        <filter val="0.996396958"/>
        <filter val="0.996449839"/>
        <filter val="0.996455364"/>
        <filter val="0.996507082"/>
        <filter val="0.996552379"/>
        <filter val="0.996571086"/>
        <filter val="0.996622464"/>
        <filter val="0.996741251"/>
        <filter val="0.996796964"/>
        <filter val="0.99680795"/>
        <filter val="0.996838259"/>
        <filter val="0.996839502"/>
        <filter val="0.996879579"/>
        <filter val="0.996890104"/>
        <filter val="0.996934738"/>
        <filter val="0.996970683"/>
        <filter val="0.997048112"/>
        <filter val="0.997128975"/>
        <filter val="0.997175348"/>
        <filter val="0.99721588"/>
        <filter val="0.997276846"/>
        <filter val="0.997287557"/>
        <filter val="0.997289035"/>
        <filter val="0.997424703"/>
        <filter val="0.997453133"/>
        <filter val="0.997468822"/>
        <filter val="0.99749025"/>
        <filter val="0.997498437"/>
        <filter val="0.997579379"/>
        <filter val="0.997592619"/>
        <filter val="0.997674796"/>
        <filter val="0.997683448"/>
        <filter val="0.997703223"/>
        <filter val="0.997742519"/>
        <filter val="0.997749474"/>
        <filter val="0.99777361"/>
        <filter val="0.997779568"/>
        <filter val="0.997860841"/>
        <filter val="0.997885589"/>
        <filter val="0.997890709"/>
        <filter val="0.997893895"/>
        <filter val="0.997923159"/>
        <filter val="0.997941919"/>
        <filter val="0.998013867"/>
        <filter val="0.998074609"/>
        <filter val="0.998075894"/>
        <filter val="0.998120481"/>
        <filter val="0.998143142"/>
        <filter val="0.998145941"/>
        <filter val="0.998207185"/>
        <filter val="0.998284876"/>
        <filter val="0.998348753"/>
        <filter val="0.998412196"/>
        <filter val="0.998426881"/>
        <filter val="0.998537201"/>
        <filter val="0.998599046"/>
        <filter val="0.998675264"/>
        <filter val="0.998685531"/>
        <filter val="0.998688895"/>
        <filter val="0.998690516"/>
        <filter val="0.998773899"/>
        <filter val="0.998779408"/>
        <filter val="0.998795817"/>
        <filter val="0.998812832"/>
        <filter val="0.99881827"/>
        <filter val="0.998823677"/>
        <filter val="0.998836621"/>
        <filter val="0.998861075"/>
        <filter val="0.998917722"/>
        <filter val="0.998933169"/>
        <filter val="0.998950961"/>
        <filter val="0.998984099"/>
        <filter val="0.998992867"/>
        <filter val="0.999065184"/>
        <filter val="0.999069057"/>
        <filter val="0.999074074"/>
        <filter val="0.999087038"/>
        <filter val="0.999089299"/>
        <filter val="0.999101899"/>
        <filter val="0.99910932"/>
        <filter val="0.999236304"/>
        <filter val="0.999372175"/>
        <filter val="0.9994031"/>
        <filter val="0.999448677"/>
        <filter val="0.999453335"/>
        <filter val="0.999465486"/>
        <filter val="0.999488636"/>
        <filter val="0.9995128"/>
        <filter val="0.999519978"/>
        <filter val="0.999587397"/>
        <filter val="0.99961391"/>
        <filter val="0.999689795"/>
        <filter val="0.999703"/>
        <filter val="0.999765478"/>
        <filter val="0.99976606"/>
        <filter val="0.999816748"/>
        <filter val="0.999832329"/>
        <filter val="0.999896448"/>
        <filter val="0.999941341"/>
        <filter val="0.999988511"/>
        <filter val="1.000025682"/>
        <filter val="1.000035688"/>
        <filter val="1.000048163"/>
        <filter val="1.000216558"/>
        <filter val="1.000233767"/>
        <filter val="1.000282809"/>
        <filter val="1.000297694"/>
        <filter val="1.000355632"/>
        <filter val="1.000382718"/>
        <filter val="1.000458085"/>
        <filter val="1.000468152"/>
        <filter val="1.00047721"/>
        <filter val="1.000595507"/>
        <filter val="1.000597372"/>
        <filter val="1.000654596"/>
        <filter val="1.000667118"/>
        <filter val="1.000737855"/>
        <filter val="1.000754864"/>
        <filter val="1.00075643"/>
        <filter val="1.000875315"/>
        <filter val="1.000896845"/>
        <filter val="1.000957067"/>
        <filter val="1.000975143"/>
        <filter val="1.000978783"/>
        <filter val="1.00101298"/>
        <filter val="1.001180553"/>
        <filter val="1.001193923"/>
        <filter val="1.001195379"/>
        <filter val="1.001225314"/>
        <filter val="1.001262609"/>
        <filter val="1.001292389"/>
        <filter val="1.001314589"/>
        <filter val="1.001322982"/>
        <filter val="1.001374256"/>
        <filter val="1.001404812"/>
        <filter val="1.001412781"/>
        <filter val="1.001459144"/>
        <filter val="1.001505871"/>
        <filter val="1.00155554"/>
        <filter val="1.001626734"/>
        <filter val="1.00163833"/>
        <filter val="1.001735351"/>
        <filter val="1.001781525"/>
        <filter val="1.001800491"/>
        <filter val="1.001871311"/>
        <filter val="1.001873694"/>
        <filter val="1.001885595"/>
        <filter val="1.00191262"/>
        <filter val="1.001985172"/>
        <filter val="1.001992398"/>
        <filter val="1.00203928"/>
        <filter val="1.002039521"/>
        <filter val="1.00208026"/>
        <filter val="1.00214049"/>
        <filter val="1.002187678"/>
        <filter val="1.002188446"/>
        <filter val="1.00218951"/>
        <filter val="1.002206701"/>
        <filter val="1.00224758"/>
        <filter val="1.002260589"/>
        <filter val="1.002291188"/>
        <filter val="1.002291334"/>
        <filter val="1.002309326"/>
        <filter val="1.002309335"/>
        <filter val="1.002318016"/>
        <filter val="1.002318121"/>
        <filter val="1.002326308"/>
        <filter val="1.002349216"/>
        <filter val="1.002418851"/>
        <filter val="1.002433094"/>
        <filter val="1.002457002"/>
        <filter val="1.002506476"/>
        <filter val="1.002540311"/>
        <filter val="1.002547948"/>
        <filter val="1.002600422"/>
        <filter val="1.002643022"/>
        <filter val="1.002720526"/>
        <filter val="1.002768896"/>
        <filter val="1.002783082"/>
        <filter val="1.002789272"/>
        <filter val="1.002803738"/>
        <filter val="1.002840985"/>
        <filter val="1.002922912"/>
        <filter val="1.002942366"/>
        <filter val="1.002954109"/>
        <filter val="1.002956607"/>
        <filter val="1.002968728"/>
        <filter val="1.002995553"/>
        <filter val="1.003008955"/>
        <filter val="1.003011981"/>
        <filter val="1.003040456"/>
        <filter val="1.00305446"/>
        <filter val="1.003056909"/>
        <filter val="1.003094116"/>
        <filter val="1.003118403"/>
        <filter val="1.003183276"/>
        <filter val="1.003239676"/>
        <filter val="1.003250014"/>
        <filter val="1.003330701"/>
        <filter val="1.003343642"/>
        <filter val="1.003346075"/>
        <filter val="1.003372488"/>
        <filter val="1.003381522"/>
        <filter val="1.003423309"/>
        <filter val="1.00345905"/>
        <filter val="1.003511987"/>
        <filter val="1.003573667"/>
        <filter val="1.003593292"/>
        <filter val="1.003639394"/>
        <filter val="1.003649793"/>
        <filter val="1.003654844"/>
        <filter val="1.00367765"/>
        <filter val="1.003717804"/>
        <filter val="1.003736648"/>
        <filter val="1.003755391"/>
        <filter val="1.003759073"/>
        <filter val="1.003761522"/>
        <filter val="1.003878872"/>
        <filter val="1.003889725"/>
        <filter val="1.00393432"/>
        <filter val="1.003982812"/>
        <filter val="1.004033191"/>
        <filter val="1.004079269"/>
        <filter val="1.004087588"/>
        <filter val="1.004114839"/>
        <filter val="1.004246452"/>
        <filter val="1.004249988"/>
        <filter val="1.004253739"/>
        <filter val="1.004262162"/>
        <filter val="1.004277042"/>
        <filter val="1.004308311"/>
        <filter val="1.004367869"/>
        <filter val="1.004397975"/>
        <filter val="1.004428207"/>
        <filter val="1.004510821"/>
        <filter val="1.004532015"/>
        <filter val="1.004600199"/>
        <filter val="1.004662172"/>
        <filter val="1.004757869"/>
        <filter val="1.004798196"/>
        <filter val="1.004831484"/>
        <filter val="1.004913499"/>
        <filter val="1.004934472"/>
        <filter val="1.00494059"/>
        <filter val="1.00498601"/>
        <filter val="1.005117583"/>
        <filter val="1.005352352"/>
        <filter val="1.005456088"/>
        <filter val="1.00545818"/>
        <filter val="1.005588194"/>
        <filter val="1.005743659"/>
        <filter val="1.005745112"/>
        <filter val="1.005765764"/>
        <filter val="1.006098294"/>
        <filter val="1.006120944"/>
        <filter val="1.006146529"/>
        <filter val="1.006169053"/>
        <filter val="1.006214548"/>
        <filter val="1.00629239"/>
        <filter val="1.006299359"/>
        <filter val="1.006381395"/>
        <filter val="1.006427189"/>
        <filter val="1.006449998"/>
        <filter val="1.006523008"/>
        <filter val="1.006664441"/>
        <filter val="1.006783293"/>
        <filter val="1.006896552"/>
        <filter val="1.006974312"/>
        <filter val="1.007093614"/>
        <filter val="1.007239375"/>
        <filter val="1.007325418"/>
        <filter val="1.007351385"/>
        <filter val="1.00740683"/>
        <filter val="1.007525161"/>
        <filter val="1.007632439"/>
        <filter val="1.00767497"/>
        <filter val="1.007730597"/>
        <filter val="1.00777296"/>
        <filter val="1.008022406"/>
        <filter val="1.00810015"/>
        <filter val="1.008485281"/>
        <filter val="1.008823583"/>
        <filter val="1.008831687"/>
        <filter val="1.008956964"/>
        <filter val="1.009012668"/>
        <filter val="1.009029284"/>
        <filter val="1.009209586"/>
        <filter val="1.009290758"/>
        <filter val="1.00939464"/>
        <filter val="1.009536559"/>
        <filter val="1.009599908"/>
        <filter val="1.009644038"/>
        <filter val="1.009822994"/>
        <filter val="1.010075995"/>
        <filter val="1.01007866"/>
        <filter val="1.010174964"/>
        <filter val="1.010192997"/>
        <filter val="1.010256707"/>
        <filter val="1.010295688"/>
        <filter val="1.010405924"/>
        <filter val="1.010452021"/>
        <filter val="1.010647532"/>
        <filter val="1.010664972"/>
        <filter val="1.01077437"/>
        <filter val="1.010785879"/>
        <filter val="1.010990513"/>
        <filter val="1.011028152"/>
        <filter val="1.011074236"/>
        <filter val="1.011103412"/>
        <filter val="1.011108007"/>
        <filter val="1.011287723"/>
        <filter val="1.011471722"/>
        <filter val="1.011534006"/>
        <filter val="1.011639222"/>
        <filter val="1.011714967"/>
        <filter val="1.011806864"/>
        <filter val="1.011898684"/>
        <filter val="1.011914544"/>
        <filter val="1.011944564"/>
        <filter val="1.01208209"/>
        <filter val="1.012326006"/>
        <filter val="1.012341333"/>
        <filter val="1.012371816"/>
        <filter val="1.012408561"/>
        <filter val="1.012448195"/>
        <filter val="1.012524211"/>
        <filter val="1.012554862"/>
        <filter val="1.012630458"/>
        <filter val="1.012722784"/>
        <filter val="1.012799428"/>
        <filter val="1.012859817"/>
        <filter val="1.012905457"/>
        <filter val="1.013528631"/>
        <filter val="1.013669395"/>
        <filter val="1.013787382"/>
        <filter val="1.013851347"/>
        <filter val="1.014019816"/>
        <filter val="1.014855426"/>
        <filter val="1.016231154"/>
        <filter val="1.018047123"/>
        <filter val="1.018122884"/>
        <filter val="1.018227249"/>
        <filter val="1.018717762"/>
        <filter val="1.01913934"/>
        <filter val="1.022226588"/>
        <filter val="1.023886358"/>
        <filter val="1.024097757"/>
        <filter val="1.02592921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7C37-6679-4C5E-8DBD-FD5FD704BA24}">
  <dimension ref="A1:F601"/>
  <sheetViews>
    <sheetView workbookViewId="0">
      <selection activeCell="B5" sqref="B5"/>
    </sheetView>
  </sheetViews>
  <sheetFormatPr defaultRowHeight="14.5" x14ac:dyDescent="0.35"/>
  <sheetData>
    <row r="1" spans="1:6" x14ac:dyDescent="0.35">
      <c r="A1" t="s">
        <v>2653</v>
      </c>
      <c r="B1">
        <f>AVERAGE(E4:E601)</f>
        <v>1.0036052269853275</v>
      </c>
    </row>
    <row r="2" spans="1:6" x14ac:dyDescent="0.35">
      <c r="A2" t="s">
        <v>2654</v>
      </c>
      <c r="B2">
        <f>AVERAGE(F4:F601)</f>
        <v>0.99764134457608766</v>
      </c>
    </row>
    <row r="4" spans="1:6" x14ac:dyDescent="0.35">
      <c r="B4">
        <f>B1*B2</f>
        <v>1.0012380680732318</v>
      </c>
      <c r="E4">
        <v>0.99371183042998568</v>
      </c>
      <c r="F4">
        <v>0.99679696394686901</v>
      </c>
    </row>
    <row r="5" spans="1:6" x14ac:dyDescent="0.35">
      <c r="E5">
        <v>0.99486661151090361</v>
      </c>
      <c r="F5">
        <v>0.99745313291673698</v>
      </c>
    </row>
    <row r="6" spans="1:6" x14ac:dyDescent="0.35">
      <c r="E6">
        <v>0.99290660480157467</v>
      </c>
      <c r="F6">
        <v>0.99187593441958277</v>
      </c>
    </row>
    <row r="7" spans="1:6" x14ac:dyDescent="0.35">
      <c r="E7">
        <v>0.99975645454013229</v>
      </c>
      <c r="F7">
        <v>0.99757937914619943</v>
      </c>
    </row>
    <row r="8" spans="1:6" x14ac:dyDescent="0.35">
      <c r="E8">
        <v>0.99773504039542937</v>
      </c>
      <c r="F8">
        <v>0.99051412081375045</v>
      </c>
    </row>
    <row r="9" spans="1:6" x14ac:dyDescent="0.35">
      <c r="E9">
        <v>0.99596816976127323</v>
      </c>
      <c r="F9">
        <v>0.99550751562236084</v>
      </c>
    </row>
    <row r="10" spans="1:6" x14ac:dyDescent="0.35">
      <c r="E10">
        <v>0.9995931765675925</v>
      </c>
      <c r="F10">
        <v>0.99508262248794455</v>
      </c>
    </row>
    <row r="11" spans="1:6" x14ac:dyDescent="0.35">
      <c r="E11">
        <v>1.0003784169686851</v>
      </c>
      <c r="F11">
        <v>0.99279417010650772</v>
      </c>
    </row>
    <row r="12" spans="1:6" x14ac:dyDescent="0.35">
      <c r="E12">
        <v>0.99493806796962525</v>
      </c>
      <c r="F12">
        <v>0.99382206117122363</v>
      </c>
    </row>
    <row r="13" spans="1:6" x14ac:dyDescent="0.35">
      <c r="E13">
        <v>1.0002872916165202</v>
      </c>
      <c r="F13">
        <v>0.99635343618513317</v>
      </c>
    </row>
    <row r="14" spans="1:6" x14ac:dyDescent="0.35">
      <c r="E14">
        <v>1.0008103506714612</v>
      </c>
      <c r="F14">
        <v>0.99362258233141665</v>
      </c>
    </row>
    <row r="15" spans="1:6" x14ac:dyDescent="0.35">
      <c r="E15">
        <v>0.99565047907879645</v>
      </c>
      <c r="F15">
        <v>0.98687873435479634</v>
      </c>
    </row>
    <row r="16" spans="1:6" x14ac:dyDescent="0.35">
      <c r="E16">
        <v>0.99633291599873652</v>
      </c>
      <c r="F16">
        <v>0.99674125129868485</v>
      </c>
    </row>
    <row r="17" spans="5:6" x14ac:dyDescent="0.35">
      <c r="E17">
        <v>0.99400299850074958</v>
      </c>
      <c r="F17">
        <v>0.99064389626818461</v>
      </c>
    </row>
    <row r="18" spans="5:6" x14ac:dyDescent="0.35">
      <c r="E18">
        <v>0.99434524853544748</v>
      </c>
      <c r="F18">
        <v>0.99636049846450581</v>
      </c>
    </row>
    <row r="19" spans="5:6" x14ac:dyDescent="0.35">
      <c r="E19">
        <v>0.99275241917554968</v>
      </c>
      <c r="F19">
        <v>0.99155157996097609</v>
      </c>
    </row>
    <row r="20" spans="5:6" x14ac:dyDescent="0.35">
      <c r="E20">
        <v>0.99835818629797868</v>
      </c>
      <c r="F20">
        <v>0.99946548642437638</v>
      </c>
    </row>
    <row r="21" spans="5:6" x14ac:dyDescent="0.35">
      <c r="E21">
        <v>0.99802320684976387</v>
      </c>
      <c r="F21">
        <v>0.99807589433552102</v>
      </c>
    </row>
    <row r="22" spans="5:6" x14ac:dyDescent="0.35">
      <c r="E22">
        <v>0.99479859438298002</v>
      </c>
      <c r="F22">
        <v>0.99271559462899428</v>
      </c>
    </row>
    <row r="23" spans="5:6" x14ac:dyDescent="0.35">
      <c r="E23">
        <v>0.99643897928849801</v>
      </c>
      <c r="F23">
        <v>0.99557116444774629</v>
      </c>
    </row>
    <row r="24" spans="5:6" x14ac:dyDescent="0.35">
      <c r="E24">
        <v>0.99563515319158902</v>
      </c>
      <c r="F24">
        <v>0.99232753823583952</v>
      </c>
    </row>
    <row r="25" spans="5:6" x14ac:dyDescent="0.35">
      <c r="E25">
        <v>0.99563028617999039</v>
      </c>
      <c r="F25">
        <v>0.99951279954820149</v>
      </c>
    </row>
    <row r="26" spans="5:6" x14ac:dyDescent="0.35">
      <c r="E26">
        <v>0.99472726424338576</v>
      </c>
      <c r="F26">
        <v>0.99304198106041419</v>
      </c>
    </row>
    <row r="27" spans="5:6" x14ac:dyDescent="0.35">
      <c r="E27">
        <v>0.99165949492786065</v>
      </c>
      <c r="F27">
        <v>0.99109755169994995</v>
      </c>
    </row>
    <row r="28" spans="5:6" x14ac:dyDescent="0.35">
      <c r="E28">
        <v>0.99257744009351256</v>
      </c>
      <c r="F28">
        <v>0.9914208889300975</v>
      </c>
    </row>
    <row r="29" spans="5:6" x14ac:dyDescent="0.35">
      <c r="E29">
        <v>0.99618613416956336</v>
      </c>
      <c r="F29">
        <v>0.9891527827011698</v>
      </c>
    </row>
    <row r="30" spans="5:6" x14ac:dyDescent="0.35">
      <c r="E30">
        <v>0.99432461516867077</v>
      </c>
      <c r="F30">
        <v>0.98779488390132031</v>
      </c>
    </row>
    <row r="31" spans="5:6" x14ac:dyDescent="0.35">
      <c r="E31">
        <v>1.0156665484784171</v>
      </c>
      <c r="F31">
        <v>0.97813464241268189</v>
      </c>
    </row>
    <row r="32" spans="5:6" x14ac:dyDescent="0.35">
      <c r="E32">
        <v>1.0173371159768192</v>
      </c>
      <c r="F32">
        <v>0.97913885554623636</v>
      </c>
    </row>
    <row r="33" spans="5:6" x14ac:dyDescent="0.35">
      <c r="E33">
        <v>1.0174184621172193</v>
      </c>
      <c r="F33">
        <v>0.97830444619724199</v>
      </c>
    </row>
    <row r="34" spans="5:6" x14ac:dyDescent="0.35">
      <c r="E34">
        <v>1.0165829762223275</v>
      </c>
      <c r="F34">
        <v>0.97744708908072331</v>
      </c>
    </row>
    <row r="35" spans="5:6" x14ac:dyDescent="0.35">
      <c r="E35">
        <v>1.0183685580876523</v>
      </c>
      <c r="F35">
        <v>0.97825695311942262</v>
      </c>
    </row>
    <row r="36" spans="5:6" x14ac:dyDescent="0.35">
      <c r="E36">
        <v>1.0119363973453877</v>
      </c>
      <c r="F36">
        <v>0.97564177783440009</v>
      </c>
    </row>
    <row r="37" spans="5:6" x14ac:dyDescent="0.35">
      <c r="E37">
        <v>1.0178173038558838</v>
      </c>
      <c r="F37">
        <v>0.97824341612852705</v>
      </c>
    </row>
    <row r="38" spans="5:6" x14ac:dyDescent="0.35">
      <c r="E38">
        <v>1.0173531467695081</v>
      </c>
      <c r="F38">
        <v>0.97913885554623636</v>
      </c>
    </row>
    <row r="39" spans="5:6" x14ac:dyDescent="0.35">
      <c r="E39">
        <v>1.0175668710982864</v>
      </c>
      <c r="F39">
        <v>0.9741158323550082</v>
      </c>
    </row>
    <row r="40" spans="5:6" x14ac:dyDescent="0.35">
      <c r="E40">
        <v>1.0000214578460613</v>
      </c>
      <c r="F40">
        <v>1.0034590503417817</v>
      </c>
    </row>
    <row r="41" spans="5:6" x14ac:dyDescent="0.35">
      <c r="E41">
        <v>0.99659836677877922</v>
      </c>
      <c r="F41">
        <v>1.0042621621372556</v>
      </c>
    </row>
    <row r="42" spans="5:6" x14ac:dyDescent="0.35">
      <c r="E42">
        <v>1.0005986590038314</v>
      </c>
      <c r="F42">
        <v>1.0030544597852291</v>
      </c>
    </row>
    <row r="43" spans="5:6" x14ac:dyDescent="0.35">
      <c r="E43">
        <v>1.0002520455873758</v>
      </c>
      <c r="F43">
        <v>1.0009751430516458</v>
      </c>
    </row>
    <row r="44" spans="5:6" x14ac:dyDescent="0.35">
      <c r="E44">
        <v>0.99575064632414501</v>
      </c>
      <c r="F44">
        <v>0.99867526355770497</v>
      </c>
    </row>
    <row r="45" spans="5:6" x14ac:dyDescent="0.35">
      <c r="E45">
        <v>1.002593803427408</v>
      </c>
      <c r="F45">
        <v>1.0022911883753309</v>
      </c>
    </row>
    <row r="46" spans="5:6" x14ac:dyDescent="0.35">
      <c r="E46">
        <v>0.99884972669651673</v>
      </c>
      <c r="F46">
        <v>1.0005973715651137</v>
      </c>
    </row>
    <row r="47" spans="5:6" x14ac:dyDescent="0.35">
      <c r="E47">
        <v>0.99813027788064268</v>
      </c>
      <c r="F47">
        <v>0.99961391026171387</v>
      </c>
    </row>
    <row r="48" spans="5:6" x14ac:dyDescent="0.35">
      <c r="E48">
        <v>0.99813027788064268</v>
      </c>
      <c r="F48">
        <v>0.99961391026171387</v>
      </c>
    </row>
    <row r="49" spans="5:6" x14ac:dyDescent="0.35">
      <c r="E49">
        <v>1.0025447990669072</v>
      </c>
      <c r="F49">
        <v>1.0029423663981758</v>
      </c>
    </row>
    <row r="50" spans="5:6" x14ac:dyDescent="0.35">
      <c r="E50">
        <v>1.0001821015981236</v>
      </c>
      <c r="F50">
        <v>1.001505871049398</v>
      </c>
    </row>
    <row r="51" spans="5:6" x14ac:dyDescent="0.35">
      <c r="E51">
        <v>1.0005815617409428</v>
      </c>
      <c r="F51">
        <v>1.0004772097591712</v>
      </c>
    </row>
    <row r="52" spans="5:6" x14ac:dyDescent="0.35">
      <c r="E52">
        <v>1.0058416816429914</v>
      </c>
      <c r="F52">
        <v>1.0023263084335579</v>
      </c>
    </row>
    <row r="53" spans="5:6" x14ac:dyDescent="0.35">
      <c r="E53">
        <v>1.000889877641824</v>
      </c>
      <c r="F53">
        <v>0.999074074074074</v>
      </c>
    </row>
    <row r="54" spans="5:6" x14ac:dyDescent="0.35">
      <c r="E54">
        <v>1.0014334546256476</v>
      </c>
      <c r="F54">
        <v>0.99958739706373789</v>
      </c>
    </row>
    <row r="55" spans="5:6" x14ac:dyDescent="0.35">
      <c r="E55">
        <v>1.0032072428707575</v>
      </c>
      <c r="F55">
        <v>1.0027205255401832</v>
      </c>
    </row>
    <row r="56" spans="5:6" x14ac:dyDescent="0.35">
      <c r="E56">
        <v>1.0028768417307667</v>
      </c>
      <c r="F56">
        <v>1.0026430215704665</v>
      </c>
    </row>
    <row r="57" spans="5:6" x14ac:dyDescent="0.35">
      <c r="E57">
        <v>0.99903082943824895</v>
      </c>
      <c r="F57">
        <v>1.0020392795359725</v>
      </c>
    </row>
    <row r="58" spans="5:6" x14ac:dyDescent="0.35">
      <c r="E58">
        <v>1.0028592070139348</v>
      </c>
      <c r="F58">
        <v>1.0048314836094707</v>
      </c>
    </row>
    <row r="59" spans="5:6" x14ac:dyDescent="0.35">
      <c r="E59">
        <v>1.0059962193744785</v>
      </c>
      <c r="F59">
        <v>1.003639394315281</v>
      </c>
    </row>
    <row r="60" spans="5:6" x14ac:dyDescent="0.35">
      <c r="E60">
        <v>1.0006281943377124</v>
      </c>
      <c r="F60">
        <v>0.9978907092703776</v>
      </c>
    </row>
    <row r="61" spans="5:6" x14ac:dyDescent="0.35">
      <c r="E61">
        <v>1.0011166329222652</v>
      </c>
      <c r="F61">
        <v>1.0003827180800908</v>
      </c>
    </row>
    <row r="62" spans="5:6" x14ac:dyDescent="0.35">
      <c r="E62">
        <v>1.0015605834274541</v>
      </c>
      <c r="F62">
        <v>1.0033815219118083</v>
      </c>
    </row>
    <row r="63" spans="5:6" x14ac:dyDescent="0.35">
      <c r="E63">
        <v>0.99930593943860946</v>
      </c>
      <c r="F63">
        <v>1.003056909298669</v>
      </c>
    </row>
    <row r="64" spans="5:6" x14ac:dyDescent="0.35">
      <c r="E64">
        <v>1.0011073388578591</v>
      </c>
      <c r="F64">
        <v>1.0037178039878949</v>
      </c>
    </row>
    <row r="65" spans="5:6" x14ac:dyDescent="0.35">
      <c r="E65">
        <v>1.0017848192564882</v>
      </c>
      <c r="F65">
        <v>1.0018855953029913</v>
      </c>
    </row>
    <row r="66" spans="5:6" x14ac:dyDescent="0.35">
      <c r="E66">
        <v>1.0020314724799921</v>
      </c>
      <c r="F66">
        <v>0.99882367655437787</v>
      </c>
    </row>
    <row r="67" spans="5:6" x14ac:dyDescent="0.35">
      <c r="E67">
        <v>1.001604159752185</v>
      </c>
      <c r="F67">
        <v>0.99940310028078838</v>
      </c>
    </row>
    <row r="68" spans="5:6" x14ac:dyDescent="0.35">
      <c r="E68">
        <v>0.99960983698501549</v>
      </c>
      <c r="F68">
        <v>1.0037590725406196</v>
      </c>
    </row>
    <row r="69" spans="5:6" x14ac:dyDescent="0.35">
      <c r="E69">
        <v>1.0020213156927598</v>
      </c>
      <c r="F69">
        <v>1.004114838522038</v>
      </c>
    </row>
    <row r="70" spans="5:6" x14ac:dyDescent="0.35">
      <c r="E70">
        <v>1.002789323999125</v>
      </c>
      <c r="F70">
        <v>1.0028409852540112</v>
      </c>
    </row>
    <row r="71" spans="5:6" x14ac:dyDescent="0.35">
      <c r="E71">
        <v>1.0020213156927598</v>
      </c>
      <c r="F71">
        <v>0.99994134056365214</v>
      </c>
    </row>
    <row r="72" spans="5:6" x14ac:dyDescent="0.35">
      <c r="E72">
        <v>1.0010035682426406</v>
      </c>
      <c r="F72">
        <v>0.99197144578871743</v>
      </c>
    </row>
    <row r="73" spans="5:6" x14ac:dyDescent="0.35">
      <c r="E73">
        <v>0.99910605715681755</v>
      </c>
      <c r="F73">
        <v>0.99091884790111129</v>
      </c>
    </row>
    <row r="74" spans="5:6" x14ac:dyDescent="0.35">
      <c r="E74">
        <v>0.9940720979017108</v>
      </c>
      <c r="F74">
        <v>0.99333946437031484</v>
      </c>
    </row>
    <row r="75" spans="5:6" x14ac:dyDescent="0.35">
      <c r="E75">
        <v>1.0027982474721009</v>
      </c>
      <c r="F75">
        <v>0.99458425066651823</v>
      </c>
    </row>
    <row r="76" spans="5:6" x14ac:dyDescent="0.35">
      <c r="E76">
        <v>1.0004340519304182</v>
      </c>
      <c r="F76">
        <v>0.99563316755114717</v>
      </c>
    </row>
    <row r="77" spans="5:6" x14ac:dyDescent="0.35">
      <c r="E77">
        <v>0.99555851654452565</v>
      </c>
      <c r="F77">
        <v>0.99869051599242176</v>
      </c>
    </row>
    <row r="78" spans="5:6" x14ac:dyDescent="0.35">
      <c r="E78">
        <v>1.0020232196503118</v>
      </c>
      <c r="F78">
        <v>0.99134874222593528</v>
      </c>
    </row>
    <row r="79" spans="5:6" x14ac:dyDescent="0.35">
      <c r="E79">
        <v>0.99986641731231618</v>
      </c>
      <c r="F79">
        <v>0.99246845645044768</v>
      </c>
    </row>
    <row r="80" spans="5:6" x14ac:dyDescent="0.35">
      <c r="E80">
        <v>1.0009632141286253</v>
      </c>
      <c r="F80">
        <v>0.99277856422497968</v>
      </c>
    </row>
    <row r="81" spans="5:6" x14ac:dyDescent="0.35">
      <c r="E81">
        <v>1.000122373149106</v>
      </c>
      <c r="F81">
        <v>0.99788558947906503</v>
      </c>
    </row>
    <row r="82" spans="5:6" x14ac:dyDescent="0.35">
      <c r="E82">
        <v>1.0005387003437682</v>
      </c>
      <c r="F82">
        <v>0.99574387634646611</v>
      </c>
    </row>
    <row r="83" spans="5:6" x14ac:dyDescent="0.35">
      <c r="E83">
        <v>1.0007459944551456</v>
      </c>
      <c r="F83">
        <v>0.99768344777101359</v>
      </c>
    </row>
    <row r="84" spans="5:6" x14ac:dyDescent="0.35">
      <c r="E84">
        <v>0.99886366785842962</v>
      </c>
      <c r="F84">
        <v>0.9968079495933605</v>
      </c>
    </row>
    <row r="85" spans="5:6" x14ac:dyDescent="0.35">
      <c r="E85">
        <v>0.99982286384872587</v>
      </c>
      <c r="F85">
        <v>0.99401482219822612</v>
      </c>
    </row>
    <row r="86" spans="5:6" x14ac:dyDescent="0.35">
      <c r="E86">
        <v>1.0039130871024202</v>
      </c>
      <c r="F86">
        <v>0.99687957862720034</v>
      </c>
    </row>
    <row r="87" spans="5:6" x14ac:dyDescent="0.35">
      <c r="E87">
        <v>1.0129701284630863</v>
      </c>
      <c r="F87">
        <v>0.98978347197643313</v>
      </c>
    </row>
    <row r="88" spans="5:6" x14ac:dyDescent="0.35">
      <c r="E88">
        <v>1.01398663399626</v>
      </c>
      <c r="F88">
        <v>0.99354905437845198</v>
      </c>
    </row>
    <row r="89" spans="5:6" x14ac:dyDescent="0.35">
      <c r="E89">
        <v>1.0132865037154974</v>
      </c>
      <c r="F89">
        <v>0.98978347197643313</v>
      </c>
    </row>
    <row r="90" spans="5:6" x14ac:dyDescent="0.35">
      <c r="E90">
        <v>1.0140971743466356</v>
      </c>
      <c r="F90">
        <v>0.99082131441977916</v>
      </c>
    </row>
    <row r="91" spans="5:6" x14ac:dyDescent="0.35">
      <c r="E91">
        <v>1.0153869211750928</v>
      </c>
      <c r="F91">
        <v>0.98887015290130298</v>
      </c>
    </row>
    <row r="92" spans="5:6" x14ac:dyDescent="0.35">
      <c r="E92">
        <v>1.014224968338642</v>
      </c>
      <c r="F92">
        <v>0.99296287308905606</v>
      </c>
    </row>
    <row r="93" spans="5:6" x14ac:dyDescent="0.35">
      <c r="E93">
        <v>1.0105350550963133</v>
      </c>
      <c r="F93">
        <v>0.98825829903691464</v>
      </c>
    </row>
    <row r="94" spans="5:6" x14ac:dyDescent="0.35">
      <c r="E94">
        <v>1.0120639255179744</v>
      </c>
      <c r="F94">
        <v>0.98901821178519511</v>
      </c>
    </row>
    <row r="95" spans="5:6" x14ac:dyDescent="0.35">
      <c r="E95">
        <v>1.011450840522093</v>
      </c>
      <c r="F95">
        <v>0.98722288813214765</v>
      </c>
    </row>
    <row r="96" spans="5:6" x14ac:dyDescent="0.35">
      <c r="E96">
        <v>1.0125561540915591</v>
      </c>
      <c r="F96">
        <v>0.99102159669983003</v>
      </c>
    </row>
    <row r="97" spans="5:6" x14ac:dyDescent="0.35">
      <c r="E97">
        <v>1.0137723572473474</v>
      </c>
      <c r="F97">
        <v>0.98847006503378931</v>
      </c>
    </row>
    <row r="98" spans="5:6" x14ac:dyDescent="0.35">
      <c r="E98">
        <v>1.0136723055725658</v>
      </c>
      <c r="F98">
        <v>0.992639327024185</v>
      </c>
    </row>
    <row r="99" spans="5:6" x14ac:dyDescent="0.35">
      <c r="E99">
        <v>1.0124451036023097</v>
      </c>
      <c r="F99">
        <v>0.98961730738384213</v>
      </c>
    </row>
    <row r="100" spans="5:6" x14ac:dyDescent="0.35">
      <c r="E100">
        <v>1.0122300953697432</v>
      </c>
      <c r="F100">
        <v>0.99470181565118809</v>
      </c>
    </row>
    <row r="101" spans="5:6" x14ac:dyDescent="0.35">
      <c r="E101">
        <v>1.0145897272658606</v>
      </c>
      <c r="F101">
        <v>0.98853254969772508</v>
      </c>
    </row>
    <row r="102" spans="5:6" x14ac:dyDescent="0.35">
      <c r="E102">
        <v>1.0137243266308678</v>
      </c>
      <c r="F102">
        <v>0.99173008049832911</v>
      </c>
    </row>
    <row r="103" spans="5:6" x14ac:dyDescent="0.35">
      <c r="E103">
        <v>1.0128928710820453</v>
      </c>
      <c r="F103">
        <v>0.99006534594272311</v>
      </c>
    </row>
    <row r="104" spans="5:6" x14ac:dyDescent="0.35">
      <c r="E104">
        <v>1.0137301004725419</v>
      </c>
      <c r="F104">
        <v>0.98789941985800256</v>
      </c>
    </row>
    <row r="105" spans="5:6" x14ac:dyDescent="0.35">
      <c r="E105">
        <v>1.0089472330052116</v>
      </c>
      <c r="F105">
        <v>0.9922193257211317</v>
      </c>
    </row>
    <row r="106" spans="5:6" x14ac:dyDescent="0.35">
      <c r="E106">
        <v>1.0083765845640937</v>
      </c>
      <c r="F106">
        <v>1.002995553233154</v>
      </c>
    </row>
    <row r="107" spans="5:6" x14ac:dyDescent="0.35">
      <c r="E107">
        <v>1.0079403124846971</v>
      </c>
      <c r="F107">
        <v>0.99906905692435455</v>
      </c>
    </row>
    <row r="108" spans="5:6" x14ac:dyDescent="0.35">
      <c r="E108">
        <v>1.0164057534220878</v>
      </c>
      <c r="F108">
        <v>0.9921840878999949</v>
      </c>
    </row>
    <row r="109" spans="5:6" x14ac:dyDescent="0.35">
      <c r="E109">
        <v>1.0169421781541093</v>
      </c>
      <c r="F109">
        <v>0.99868553054662379</v>
      </c>
    </row>
    <row r="110" spans="5:6" x14ac:dyDescent="0.35">
      <c r="E110">
        <v>1.0153142657532364</v>
      </c>
      <c r="F110">
        <v>0.9912639208698949</v>
      </c>
    </row>
    <row r="111" spans="5:6" x14ac:dyDescent="0.35">
      <c r="E111">
        <v>1.0124070898107889</v>
      </c>
      <c r="F111">
        <v>1.0000256823808593</v>
      </c>
    </row>
    <row r="112" spans="5:6" x14ac:dyDescent="0.35">
      <c r="E112">
        <v>1.0154685381161903</v>
      </c>
      <c r="F112">
        <v>0.9902512622141354</v>
      </c>
    </row>
    <row r="113" spans="5:6" x14ac:dyDescent="0.35">
      <c r="E113">
        <v>1.0139930490580402</v>
      </c>
      <c r="F113">
        <v>0.99024594191529525</v>
      </c>
    </row>
    <row r="114" spans="5:6" x14ac:dyDescent="0.35">
      <c r="E114">
        <v>1.0166684399894341</v>
      </c>
      <c r="F114">
        <v>0.99774251872245556</v>
      </c>
    </row>
    <row r="115" spans="5:6" x14ac:dyDescent="0.35">
      <c r="E115">
        <v>1.0131313811001226</v>
      </c>
      <c r="F115">
        <v>0.98448126956709503</v>
      </c>
    </row>
    <row r="116" spans="5:6" x14ac:dyDescent="0.35">
      <c r="E116">
        <v>1.0117785308264102</v>
      </c>
      <c r="F116">
        <v>0.99308360948813323</v>
      </c>
    </row>
    <row r="117" spans="5:6" x14ac:dyDescent="0.35">
      <c r="E117">
        <v>1.0094790612862377</v>
      </c>
      <c r="F117">
        <v>0.98994371988002583</v>
      </c>
    </row>
    <row r="118" spans="5:6" x14ac:dyDescent="0.35">
      <c r="E118">
        <v>1.0205674914715877</v>
      </c>
      <c r="F118">
        <v>0.99140027978452405</v>
      </c>
    </row>
    <row r="119" spans="5:6" x14ac:dyDescent="0.35">
      <c r="E119">
        <v>1.0213723559138566</v>
      </c>
      <c r="F119">
        <v>0.99610268863169671</v>
      </c>
    </row>
    <row r="120" spans="5:6" x14ac:dyDescent="0.35">
      <c r="E120">
        <v>1.0141834120124467</v>
      </c>
      <c r="F120">
        <v>0.99657108596873578</v>
      </c>
    </row>
    <row r="121" spans="5:6" x14ac:dyDescent="0.35">
      <c r="E121">
        <v>1.0147896009128698</v>
      </c>
      <c r="F121">
        <v>0.99472529191081116</v>
      </c>
    </row>
    <row r="122" spans="5:6" x14ac:dyDescent="0.35">
      <c r="E122">
        <v>1.0166407652148746</v>
      </c>
      <c r="F122">
        <v>1.000035687823315</v>
      </c>
    </row>
    <row r="123" spans="5:6" x14ac:dyDescent="0.35">
      <c r="E123">
        <v>1.0142886810241767</v>
      </c>
      <c r="F123">
        <v>0.99102979523789181</v>
      </c>
    </row>
    <row r="124" spans="5:6" x14ac:dyDescent="0.35">
      <c r="E124">
        <v>1.0147088580380601</v>
      </c>
      <c r="F124">
        <v>0.99777360983239627</v>
      </c>
    </row>
    <row r="125" spans="5:6" x14ac:dyDescent="0.35">
      <c r="E125">
        <v>1.0161369570452283</v>
      </c>
      <c r="F125">
        <v>0.98772391181844599</v>
      </c>
    </row>
    <row r="126" spans="5:6" x14ac:dyDescent="0.35">
      <c r="E126">
        <v>1.0172849724483548</v>
      </c>
      <c r="F126">
        <v>0.99480109659555704</v>
      </c>
    </row>
    <row r="127" spans="5:6" x14ac:dyDescent="0.35">
      <c r="E127">
        <v>1.0099594910541352</v>
      </c>
      <c r="F127">
        <v>0.99287992447327633</v>
      </c>
    </row>
    <row r="128" spans="5:6" x14ac:dyDescent="0.35">
      <c r="E128">
        <v>1.0177881569563656</v>
      </c>
      <c r="F128">
        <v>0.99140027978452405</v>
      </c>
    </row>
    <row r="129" spans="5:6" x14ac:dyDescent="0.35">
      <c r="E129">
        <v>1.0156073286586744</v>
      </c>
      <c r="F129">
        <v>0.99564719856937101</v>
      </c>
    </row>
    <row r="130" spans="5:6" x14ac:dyDescent="0.35">
      <c r="E130">
        <v>1.0114752412503509</v>
      </c>
      <c r="F130">
        <v>0.9929773181541669</v>
      </c>
    </row>
    <row r="131" spans="5:6" x14ac:dyDescent="0.35">
      <c r="E131">
        <v>1.0185097888141539</v>
      </c>
      <c r="F131">
        <v>0.99376863146807048</v>
      </c>
    </row>
    <row r="132" spans="5:6" x14ac:dyDescent="0.35">
      <c r="E132">
        <v>1.0188950625152089</v>
      </c>
      <c r="F132">
        <v>0.99968979511137579</v>
      </c>
    </row>
    <row r="133" spans="5:6" x14ac:dyDescent="0.35">
      <c r="E133">
        <v>1.0180037116070968</v>
      </c>
      <c r="F133">
        <v>0.99591672948398113</v>
      </c>
    </row>
    <row r="134" spans="5:6" x14ac:dyDescent="0.35">
      <c r="E134">
        <v>1.0021466327206634</v>
      </c>
      <c r="F134">
        <v>1.0003556320405385</v>
      </c>
    </row>
    <row r="135" spans="5:6" x14ac:dyDescent="0.35">
      <c r="E135">
        <v>1.0155575804163268</v>
      </c>
      <c r="F135">
        <v>0.99109890871268502</v>
      </c>
    </row>
    <row r="136" spans="5:6" x14ac:dyDescent="0.35">
      <c r="E136">
        <v>1.0011706661738782</v>
      </c>
      <c r="F136">
        <v>1.0013229819749214</v>
      </c>
    </row>
    <row r="137" spans="5:6" x14ac:dyDescent="0.35">
      <c r="E137">
        <v>1.002604527655194</v>
      </c>
      <c r="F137">
        <v>0.99842688144978597</v>
      </c>
    </row>
    <row r="138" spans="5:6" x14ac:dyDescent="0.35">
      <c r="E138">
        <v>0.99761167133274264</v>
      </c>
      <c r="F138">
        <v>0.99879581689376495</v>
      </c>
    </row>
    <row r="139" spans="5:6" x14ac:dyDescent="0.35">
      <c r="E139">
        <v>0.99731288400942397</v>
      </c>
      <c r="F139">
        <v>0.99814594119370914</v>
      </c>
    </row>
    <row r="140" spans="5:6" x14ac:dyDescent="0.35">
      <c r="E140">
        <v>1.0006243781747735</v>
      </c>
      <c r="F140">
        <v>0.99594945677846003</v>
      </c>
    </row>
    <row r="141" spans="5:6" x14ac:dyDescent="0.35">
      <c r="E141">
        <v>0.99735790525264212</v>
      </c>
      <c r="F141">
        <v>0.99981674765001494</v>
      </c>
    </row>
    <row r="142" spans="5:6" x14ac:dyDescent="0.35">
      <c r="E142">
        <v>0.99943910957186932</v>
      </c>
      <c r="F142">
        <v>0.99717534849596479</v>
      </c>
    </row>
    <row r="143" spans="5:6" x14ac:dyDescent="0.35">
      <c r="E143">
        <v>0.99682598103650732</v>
      </c>
      <c r="F143">
        <v>0.99859904632551955</v>
      </c>
    </row>
    <row r="144" spans="5:6" x14ac:dyDescent="0.35">
      <c r="E144">
        <v>1.0001469276381383</v>
      </c>
      <c r="F144">
        <v>0.9960668410803154</v>
      </c>
    </row>
    <row r="145" spans="5:6" x14ac:dyDescent="0.35">
      <c r="E145">
        <v>0.99746783625730995</v>
      </c>
      <c r="F145">
        <v>0.99910189914994163</v>
      </c>
    </row>
    <row r="146" spans="5:6" x14ac:dyDescent="0.35">
      <c r="E146">
        <v>0.99911799928321054</v>
      </c>
      <c r="F146">
        <v>0.99543361834069333</v>
      </c>
    </row>
    <row r="147" spans="5:6" x14ac:dyDescent="0.35">
      <c r="E147">
        <v>1.0000544494893164</v>
      </c>
      <c r="F147">
        <v>0.99944867682437855</v>
      </c>
    </row>
    <row r="148" spans="5:6" x14ac:dyDescent="0.35">
      <c r="E148">
        <v>1.003471618850361</v>
      </c>
      <c r="F148">
        <v>0.9969706827546776</v>
      </c>
    </row>
    <row r="149" spans="5:6" x14ac:dyDescent="0.35">
      <c r="E149">
        <v>0.99581965227492297</v>
      </c>
      <c r="F149">
        <v>0.99814314206661903</v>
      </c>
    </row>
    <row r="150" spans="5:6" x14ac:dyDescent="0.35">
      <c r="E150">
        <v>0.99875327854520024</v>
      </c>
      <c r="F150">
        <v>0.99609159313592821</v>
      </c>
    </row>
    <row r="151" spans="5:6" x14ac:dyDescent="0.35">
      <c r="E151">
        <v>0.99865501953382207</v>
      </c>
      <c r="F151">
        <v>0.99998851063621741</v>
      </c>
    </row>
    <row r="152" spans="5:6" x14ac:dyDescent="0.35">
      <c r="E152">
        <v>0.99940645462367483</v>
      </c>
      <c r="F152">
        <v>0.99789389542033557</v>
      </c>
    </row>
    <row r="153" spans="5:6" x14ac:dyDescent="0.35">
      <c r="E153">
        <v>0.99912003155265372</v>
      </c>
      <c r="F153">
        <v>0.99899286664840115</v>
      </c>
    </row>
    <row r="154" spans="5:6" x14ac:dyDescent="0.35">
      <c r="E154">
        <v>1.0017605059159529</v>
      </c>
      <c r="F154">
        <v>0.99645536365607934</v>
      </c>
    </row>
    <row r="155" spans="5:6" x14ac:dyDescent="0.35">
      <c r="E155">
        <v>1.0084760791821059</v>
      </c>
      <c r="F155">
        <v>1.0039343202069559</v>
      </c>
    </row>
    <row r="156" spans="5:6" x14ac:dyDescent="0.35">
      <c r="E156">
        <v>0.99739147779104254</v>
      </c>
      <c r="F156">
        <v>0.99945333525567082</v>
      </c>
    </row>
    <row r="157" spans="5:6" x14ac:dyDescent="0.35">
      <c r="E157">
        <v>1.013351192750414</v>
      </c>
      <c r="F157">
        <v>1.0042499880113172</v>
      </c>
    </row>
    <row r="158" spans="5:6" x14ac:dyDescent="0.35">
      <c r="E158">
        <v>1.0035663761069322</v>
      </c>
      <c r="F158">
        <v>0.99976547842401475</v>
      </c>
    </row>
    <row r="159" spans="5:6" x14ac:dyDescent="0.35">
      <c r="E159">
        <v>1.0108049387949765</v>
      </c>
      <c r="F159">
        <v>1.0031184033774707</v>
      </c>
    </row>
    <row r="160" spans="5:6" x14ac:dyDescent="0.35">
      <c r="E160">
        <v>1.0019614680113875</v>
      </c>
      <c r="F160">
        <v>0.99807460890493382</v>
      </c>
    </row>
    <row r="161" spans="5:6" x14ac:dyDescent="0.35">
      <c r="E161">
        <v>1.0125164133133893</v>
      </c>
      <c r="F161">
        <v>1.0032396761521509</v>
      </c>
    </row>
    <row r="162" spans="5:6" x14ac:dyDescent="0.35">
      <c r="E162">
        <v>1.000830612488347</v>
      </c>
      <c r="F162">
        <v>0.99868889530407978</v>
      </c>
    </row>
    <row r="163" spans="5:6" x14ac:dyDescent="0.35">
      <c r="E163">
        <v>1.012020023062751</v>
      </c>
      <c r="F163">
        <v>1.0024188514357053</v>
      </c>
    </row>
    <row r="164" spans="5:6" x14ac:dyDescent="0.35">
      <c r="E164">
        <v>1.0011418213435705</v>
      </c>
      <c r="F164">
        <v>0.9989331693910023</v>
      </c>
    </row>
    <row r="165" spans="5:6" x14ac:dyDescent="0.35">
      <c r="E165">
        <v>1.0108049387949765</v>
      </c>
      <c r="F165">
        <v>1.0012253135361104</v>
      </c>
    </row>
    <row r="166" spans="5:6" x14ac:dyDescent="0.35">
      <c r="E166">
        <v>1.0003868096440613</v>
      </c>
      <c r="F166">
        <v>0.99540653935185164</v>
      </c>
    </row>
    <row r="167" spans="5:6" x14ac:dyDescent="0.35">
      <c r="E167">
        <v>1.0128809243853489</v>
      </c>
      <c r="F167">
        <v>1.0042770419426048</v>
      </c>
    </row>
    <row r="168" spans="5:6" x14ac:dyDescent="0.35">
      <c r="E168">
        <v>1.0014972773426274</v>
      </c>
      <c r="F168">
        <v>1.0000481625969273</v>
      </c>
    </row>
    <row r="169" spans="5:6" x14ac:dyDescent="0.35">
      <c r="E169">
        <v>1.0108893210048018</v>
      </c>
      <c r="F169">
        <v>1.0014591439688714</v>
      </c>
    </row>
    <row r="170" spans="5:6" x14ac:dyDescent="0.35">
      <c r="E170">
        <v>1.0004090292245646</v>
      </c>
      <c r="F170">
        <v>0.99727684596105637</v>
      </c>
    </row>
    <row r="171" spans="5:6" x14ac:dyDescent="0.35">
      <c r="E171">
        <v>1.009375142622007</v>
      </c>
      <c r="F171">
        <v>1.0054581795817958</v>
      </c>
    </row>
    <row r="172" spans="5:6" x14ac:dyDescent="0.35">
      <c r="E172">
        <v>0.99341459009677691</v>
      </c>
      <c r="F172">
        <v>1.0011953794442079</v>
      </c>
    </row>
    <row r="173" spans="5:6" x14ac:dyDescent="0.35">
      <c r="E173">
        <v>1.0119068913575597</v>
      </c>
      <c r="F173">
        <v>1.0026004218195761</v>
      </c>
    </row>
    <row r="174" spans="5:6" x14ac:dyDescent="0.35">
      <c r="E174">
        <v>1.0013175125997062</v>
      </c>
      <c r="F174">
        <v>0.99770322270322254</v>
      </c>
    </row>
    <row r="175" spans="5:6" x14ac:dyDescent="0.35">
      <c r="E175">
        <v>1.0123752424460652</v>
      </c>
      <c r="F175">
        <v>1.0021895095498607</v>
      </c>
    </row>
    <row r="176" spans="5:6" x14ac:dyDescent="0.35">
      <c r="E176">
        <v>1.0015738434635155</v>
      </c>
      <c r="F176">
        <v>0.99749024989166535</v>
      </c>
    </row>
    <row r="177" spans="5:6" x14ac:dyDescent="0.35">
      <c r="E177">
        <v>1.0099459316310992</v>
      </c>
      <c r="F177">
        <v>1.0018713113574205</v>
      </c>
    </row>
    <row r="178" spans="5:6" x14ac:dyDescent="0.35">
      <c r="E178">
        <v>0.9985788322821969</v>
      </c>
      <c r="F178">
        <v>0.99801386682074233</v>
      </c>
    </row>
    <row r="179" spans="5:6" x14ac:dyDescent="0.35">
      <c r="E179">
        <v>1.0130134653074043</v>
      </c>
      <c r="F179">
        <v>1.002803738317757</v>
      </c>
    </row>
    <row r="180" spans="5:6" x14ac:dyDescent="0.35">
      <c r="E180">
        <v>1.0023967183259217</v>
      </c>
      <c r="F180">
        <v>0.99749843652282666</v>
      </c>
    </row>
    <row r="181" spans="5:6" x14ac:dyDescent="0.35">
      <c r="E181">
        <v>1.0089812622736603</v>
      </c>
      <c r="F181">
        <v>1.0046621718548272</v>
      </c>
    </row>
    <row r="182" spans="5:6" x14ac:dyDescent="0.35">
      <c r="E182">
        <v>1.0108605121502552</v>
      </c>
      <c r="F182">
        <v>1.0022475795297372</v>
      </c>
    </row>
    <row r="183" spans="5:6" x14ac:dyDescent="0.35">
      <c r="E183">
        <v>1.0105802817067402</v>
      </c>
      <c r="F183">
        <v>1.0057436589059245</v>
      </c>
    </row>
    <row r="184" spans="5:6" x14ac:dyDescent="0.35">
      <c r="E184">
        <v>0.99733967460653472</v>
      </c>
      <c r="F184">
        <v>1.0021876778599885</v>
      </c>
    </row>
    <row r="185" spans="5:6" x14ac:dyDescent="0.35">
      <c r="E185">
        <v>0.99971999734734318</v>
      </c>
      <c r="F185">
        <v>0.99812048077383508</v>
      </c>
    </row>
    <row r="186" spans="5:6" x14ac:dyDescent="0.35">
      <c r="E186">
        <v>0.99725225794505679</v>
      </c>
      <c r="F186">
        <v>0.99886107514506284</v>
      </c>
    </row>
    <row r="187" spans="5:6" x14ac:dyDescent="0.35">
      <c r="E187">
        <v>1.0007219049196474</v>
      </c>
      <c r="F187">
        <v>1.0016267339218161</v>
      </c>
    </row>
    <row r="188" spans="5:6" x14ac:dyDescent="0.35">
      <c r="E188">
        <v>1.0006564678752938</v>
      </c>
      <c r="F188">
        <v>0.99898409893992957</v>
      </c>
    </row>
    <row r="189" spans="5:6" x14ac:dyDescent="0.35">
      <c r="E189">
        <v>1.0020301453134652</v>
      </c>
      <c r="F189">
        <v>0.99883662114314631</v>
      </c>
    </row>
    <row r="190" spans="5:6" x14ac:dyDescent="0.35">
      <c r="E190">
        <v>1.0026172766068375</v>
      </c>
      <c r="F190">
        <v>0.99562246963562751</v>
      </c>
    </row>
    <row r="191" spans="5:6" x14ac:dyDescent="0.35">
      <c r="E191">
        <v>1.0010562962890792</v>
      </c>
      <c r="F191">
        <v>0.99841219635627532</v>
      </c>
    </row>
    <row r="192" spans="5:6" x14ac:dyDescent="0.35">
      <c r="E192">
        <v>1.0021941890511421</v>
      </c>
      <c r="F192">
        <v>0.99383865248226977</v>
      </c>
    </row>
    <row r="193" spans="5:6" x14ac:dyDescent="0.35">
      <c r="E193">
        <v>1.0018744454934831</v>
      </c>
      <c r="F193">
        <v>0.99624240890688265</v>
      </c>
    </row>
    <row r="194" spans="5:6" x14ac:dyDescent="0.35">
      <c r="E194">
        <v>1.0013682878953107</v>
      </c>
      <c r="F194">
        <v>0.9900430161943321</v>
      </c>
    </row>
    <row r="195" spans="5:6" x14ac:dyDescent="0.35">
      <c r="E195">
        <v>0.99980330061795719</v>
      </c>
      <c r="F195">
        <v>1.0002976944514821</v>
      </c>
    </row>
    <row r="196" spans="5:6" x14ac:dyDescent="0.35">
      <c r="E196">
        <v>0.99796138782130939</v>
      </c>
      <c r="F196">
        <v>0.99504058853373933</v>
      </c>
    </row>
    <row r="197" spans="5:6" x14ac:dyDescent="0.35">
      <c r="E197">
        <v>0.99971359690847061</v>
      </c>
      <c r="F197">
        <v>0.99976605968639376</v>
      </c>
    </row>
    <row r="198" spans="5:6" x14ac:dyDescent="0.35">
      <c r="E198">
        <v>1.0006723469529077</v>
      </c>
      <c r="F198">
        <v>0.99475082216038468</v>
      </c>
    </row>
    <row r="199" spans="5:6" x14ac:dyDescent="0.35">
      <c r="E199">
        <v>1.001695540411869</v>
      </c>
      <c r="F199">
        <v>0.99794191919191932</v>
      </c>
    </row>
    <row r="200" spans="5:6" x14ac:dyDescent="0.35">
      <c r="E200">
        <v>1.0002860532256599</v>
      </c>
      <c r="F200">
        <v>0.99277398127056471</v>
      </c>
    </row>
    <row r="201" spans="5:6" x14ac:dyDescent="0.35">
      <c r="E201">
        <v>1.0022768456385616</v>
      </c>
      <c r="F201">
        <v>1.0009787825208387</v>
      </c>
    </row>
    <row r="202" spans="5:6" x14ac:dyDescent="0.35">
      <c r="E202">
        <v>1.0001279320134058</v>
      </c>
      <c r="F202">
        <v>0.99591230730351299</v>
      </c>
    </row>
    <row r="203" spans="5:6" x14ac:dyDescent="0.35">
      <c r="E203">
        <v>1.0001798389102527</v>
      </c>
      <c r="F203">
        <v>1.0021884460141273</v>
      </c>
    </row>
    <row r="204" spans="5:6" x14ac:dyDescent="0.35">
      <c r="E204">
        <v>1.0008847203979265</v>
      </c>
      <c r="F204">
        <v>0.99853720050441375</v>
      </c>
    </row>
    <row r="205" spans="5:6" x14ac:dyDescent="0.35">
      <c r="E205">
        <v>1.0026897142402085</v>
      </c>
      <c r="F205">
        <v>0.99712897526501787</v>
      </c>
    </row>
    <row r="206" spans="5:6" x14ac:dyDescent="0.35">
      <c r="E206">
        <v>1.0027579451420483</v>
      </c>
      <c r="F206">
        <v>0.99881283152311195</v>
      </c>
    </row>
    <row r="207" spans="5:6" x14ac:dyDescent="0.35">
      <c r="E207">
        <v>1.0007892280495509</v>
      </c>
      <c r="F207">
        <v>0.99480905412240772</v>
      </c>
    </row>
    <row r="208" spans="5:6" x14ac:dyDescent="0.35">
      <c r="E208">
        <v>1.0010879564705872</v>
      </c>
      <c r="F208">
        <v>0.99655237854251011</v>
      </c>
    </row>
    <row r="209" spans="5:6" x14ac:dyDescent="0.35">
      <c r="E209">
        <v>1.0001841594026013</v>
      </c>
      <c r="F209">
        <v>0.99110534312484178</v>
      </c>
    </row>
    <row r="210" spans="5:6" x14ac:dyDescent="0.35">
      <c r="E210">
        <v>1.0023453218498215</v>
      </c>
      <c r="F210">
        <v>0.99877940804452314</v>
      </c>
    </row>
    <row r="211" spans="5:6" x14ac:dyDescent="0.35">
      <c r="E211">
        <v>1.0019272119229368</v>
      </c>
      <c r="F211">
        <v>0.99721588026382568</v>
      </c>
    </row>
    <row r="212" spans="5:6" x14ac:dyDescent="0.35">
      <c r="E212">
        <v>1.003067409752872</v>
      </c>
      <c r="F212">
        <v>0.99399111675126917</v>
      </c>
    </row>
    <row r="213" spans="5:6" x14ac:dyDescent="0.35">
      <c r="E213">
        <v>1.0014999052966771</v>
      </c>
      <c r="F213">
        <v>0.99908929926638013</v>
      </c>
    </row>
    <row r="214" spans="5:6" x14ac:dyDescent="0.35">
      <c r="E214">
        <v>0.99987624403424968</v>
      </c>
      <c r="F214">
        <v>0.9989177215189875</v>
      </c>
    </row>
    <row r="215" spans="5:6" x14ac:dyDescent="0.35">
      <c r="E215">
        <v>0.99964675664285685</v>
      </c>
      <c r="F215">
        <v>0.99409044844185479</v>
      </c>
    </row>
    <row r="216" spans="5:6" x14ac:dyDescent="0.35">
      <c r="E216">
        <v>0.99892472067971316</v>
      </c>
      <c r="F216">
        <v>0.98980496453900735</v>
      </c>
    </row>
    <row r="217" spans="5:6" x14ac:dyDescent="0.35">
      <c r="E217">
        <v>1.0003368135852027</v>
      </c>
      <c r="F217">
        <v>0.99728755690440074</v>
      </c>
    </row>
    <row r="218" spans="5:6" x14ac:dyDescent="0.35">
      <c r="E218">
        <v>1.0006622465675861</v>
      </c>
      <c r="F218">
        <v>0.99284899923992909</v>
      </c>
    </row>
    <row r="219" spans="5:6" x14ac:dyDescent="0.35">
      <c r="E219">
        <v>1.0012714506421558</v>
      </c>
      <c r="F219">
        <v>0.99895096056622856</v>
      </c>
    </row>
    <row r="220" spans="5:6" x14ac:dyDescent="0.35">
      <c r="E220">
        <v>1.0008043315241884</v>
      </c>
      <c r="F220">
        <v>0.99407262145748998</v>
      </c>
    </row>
    <row r="221" spans="5:6" x14ac:dyDescent="0.35">
      <c r="E221">
        <v>1.0028359372837841</v>
      </c>
      <c r="F221">
        <v>0.99923630396364571</v>
      </c>
    </row>
    <row r="222" spans="5:6" x14ac:dyDescent="0.35">
      <c r="E222">
        <v>1.0007680859977561</v>
      </c>
      <c r="F222">
        <v>0.9901747277791848</v>
      </c>
    </row>
    <row r="223" spans="5:6" x14ac:dyDescent="0.35">
      <c r="E223">
        <v>1.0020389967284622</v>
      </c>
      <c r="F223">
        <v>0.99742470260693517</v>
      </c>
    </row>
    <row r="224" spans="5:6" x14ac:dyDescent="0.35">
      <c r="E224">
        <v>1.0027925687780055</v>
      </c>
      <c r="F224">
        <v>0.99194669024759985</v>
      </c>
    </row>
    <row r="225" spans="5:6" x14ac:dyDescent="0.35">
      <c r="E225">
        <v>1.0039901203896957</v>
      </c>
      <c r="F225">
        <v>0.99898409893992957</v>
      </c>
    </row>
    <row r="226" spans="5:6" x14ac:dyDescent="0.35">
      <c r="E226">
        <v>1.0014055494971525</v>
      </c>
      <c r="F226">
        <v>0.98998354846874226</v>
      </c>
    </row>
    <row r="227" spans="5:6" x14ac:dyDescent="0.35">
      <c r="E227">
        <v>1.0033375551980284</v>
      </c>
      <c r="F227">
        <v>0.99906518443658421</v>
      </c>
    </row>
    <row r="228" spans="5:6" x14ac:dyDescent="0.35">
      <c r="E228">
        <v>1.0029092360709426</v>
      </c>
      <c r="F228">
        <v>0.99362831858407097</v>
      </c>
    </row>
    <row r="229" spans="5:6" x14ac:dyDescent="0.35">
      <c r="E229">
        <v>1.0044704146822632</v>
      </c>
      <c r="F229">
        <v>0.9994886363636365</v>
      </c>
    </row>
    <row r="230" spans="5:6" x14ac:dyDescent="0.35">
      <c r="E230">
        <v>1.0033137089227362</v>
      </c>
      <c r="F230">
        <v>0.99448092952765865</v>
      </c>
    </row>
    <row r="231" spans="5:6" x14ac:dyDescent="0.35">
      <c r="E231">
        <v>1.0016462254625964</v>
      </c>
      <c r="F231">
        <v>1.0007564296520424</v>
      </c>
    </row>
    <row r="232" spans="5:6" x14ac:dyDescent="0.35">
      <c r="E232">
        <v>0.9980679859331435</v>
      </c>
      <c r="F232">
        <v>0.99273700305810408</v>
      </c>
    </row>
    <row r="233" spans="5:6" x14ac:dyDescent="0.35">
      <c r="E233">
        <v>0.9987432267041495</v>
      </c>
      <c r="F233">
        <v>0.99689010429916047</v>
      </c>
    </row>
    <row r="234" spans="5:6" x14ac:dyDescent="0.35">
      <c r="E234">
        <v>1.0023694857513261</v>
      </c>
      <c r="F234">
        <v>0.99898409893992957</v>
      </c>
    </row>
    <row r="235" spans="5:6" x14ac:dyDescent="0.35">
      <c r="E235">
        <v>1.0024326550129246</v>
      </c>
      <c r="F235">
        <v>0.99330176767676781</v>
      </c>
    </row>
    <row r="236" spans="5:6" x14ac:dyDescent="0.35">
      <c r="E236">
        <v>0.99828789531079587</v>
      </c>
      <c r="F236">
        <v>0.9896644467213116</v>
      </c>
    </row>
    <row r="237" spans="5:6" x14ac:dyDescent="0.35">
      <c r="E237">
        <v>1.0062701220908565</v>
      </c>
      <c r="F237">
        <v>0.99536053342913111</v>
      </c>
    </row>
    <row r="238" spans="5:6" x14ac:dyDescent="0.35">
      <c r="E238">
        <v>1.0061372531309873</v>
      </c>
      <c r="F238">
        <v>0.99507362799092391</v>
      </c>
    </row>
    <row r="239" spans="5:6" x14ac:dyDescent="0.35">
      <c r="E239">
        <v>1.0093742827778516</v>
      </c>
      <c r="F239">
        <v>0.99759261874551175</v>
      </c>
    </row>
    <row r="240" spans="5:6" x14ac:dyDescent="0.35">
      <c r="E240">
        <v>1.0085491195025771</v>
      </c>
      <c r="F240">
        <v>0.99792315906941798</v>
      </c>
    </row>
    <row r="241" spans="5:6" x14ac:dyDescent="0.35">
      <c r="E241">
        <v>1.0086829768795211</v>
      </c>
      <c r="F241">
        <v>0.99644983866877701</v>
      </c>
    </row>
    <row r="242" spans="5:6" x14ac:dyDescent="0.35">
      <c r="E242">
        <v>1.0055471748788594</v>
      </c>
      <c r="F242">
        <v>0.99613941815828833</v>
      </c>
    </row>
    <row r="243" spans="5:6" x14ac:dyDescent="0.35">
      <c r="E243">
        <v>1.005146736455355</v>
      </c>
      <c r="F243">
        <v>0.99693473826771495</v>
      </c>
    </row>
    <row r="244" spans="5:6" x14ac:dyDescent="0.35">
      <c r="E244">
        <v>1.0067991531003313</v>
      </c>
      <c r="F244">
        <v>0.99774947424899152</v>
      </c>
    </row>
    <row r="245" spans="5:6" x14ac:dyDescent="0.35">
      <c r="E245">
        <v>1.0077549277785351</v>
      </c>
      <c r="F245">
        <v>0.99834875261520273</v>
      </c>
    </row>
    <row r="246" spans="5:6" x14ac:dyDescent="0.35">
      <c r="E246">
        <v>1.004943358032758</v>
      </c>
      <c r="F246">
        <v>0.99550076933951426</v>
      </c>
    </row>
    <row r="247" spans="5:6" x14ac:dyDescent="0.35">
      <c r="E247">
        <v>1.0115752865652372</v>
      </c>
      <c r="F247">
        <v>0.98586123694045058</v>
      </c>
    </row>
    <row r="248" spans="5:6" x14ac:dyDescent="0.35">
      <c r="E248">
        <v>1.0114402867616736</v>
      </c>
      <c r="F248">
        <v>0.9830727376845122</v>
      </c>
    </row>
    <row r="249" spans="5:6" x14ac:dyDescent="0.35">
      <c r="E249">
        <v>1.0120400095260778</v>
      </c>
      <c r="F249">
        <v>0.98774779938640578</v>
      </c>
    </row>
    <row r="250" spans="5:6" x14ac:dyDescent="0.35">
      <c r="E250">
        <v>1.0079471664244883</v>
      </c>
      <c r="F250">
        <v>0.99612340099124819</v>
      </c>
    </row>
    <row r="251" spans="5:6" x14ac:dyDescent="0.35">
      <c r="E251">
        <v>1.0056649412014784</v>
      </c>
      <c r="F251">
        <v>0.99162291701802396</v>
      </c>
    </row>
    <row r="252" spans="5:6" x14ac:dyDescent="0.35">
      <c r="E252">
        <v>1.0060556289602793</v>
      </c>
      <c r="F252">
        <v>0.9958909409696205</v>
      </c>
    </row>
    <row r="253" spans="5:6" x14ac:dyDescent="0.35">
      <c r="E253">
        <v>1.0112777774643331</v>
      </c>
      <c r="F253">
        <v>0.98357750351504525</v>
      </c>
    </row>
    <row r="254" spans="5:6" x14ac:dyDescent="0.35">
      <c r="E254">
        <v>1.0107895180377164</v>
      </c>
      <c r="F254">
        <v>0.98111017553707791</v>
      </c>
    </row>
    <row r="255" spans="5:6" x14ac:dyDescent="0.35">
      <c r="E255">
        <v>1.0119530117463462</v>
      </c>
      <c r="F255">
        <v>0.98572815851870776</v>
      </c>
    </row>
    <row r="256" spans="5:6" x14ac:dyDescent="0.35">
      <c r="E256">
        <v>1.0081714195316054</v>
      </c>
      <c r="F256">
        <v>0.99951997799400816</v>
      </c>
    </row>
    <row r="257" spans="5:6" x14ac:dyDescent="0.35">
      <c r="E257">
        <v>1.0090789415277337</v>
      </c>
      <c r="F257">
        <v>0.99243189577091895</v>
      </c>
    </row>
    <row r="258" spans="5:6" x14ac:dyDescent="0.35">
      <c r="E258">
        <v>1.0093980064651307</v>
      </c>
      <c r="F258">
        <v>0.99786084098918015</v>
      </c>
    </row>
    <row r="259" spans="5:6" x14ac:dyDescent="0.35">
      <c r="E259">
        <v>1.0114886961813481</v>
      </c>
      <c r="F259">
        <v>1.0019851723618847</v>
      </c>
    </row>
    <row r="260" spans="5:6" x14ac:dyDescent="0.35">
      <c r="E260">
        <v>1.0097388073564928</v>
      </c>
      <c r="F260">
        <v>0.99570475396163483</v>
      </c>
    </row>
    <row r="261" spans="5:6" x14ac:dyDescent="0.35">
      <c r="E261">
        <v>1.0110946236892242</v>
      </c>
      <c r="F261">
        <v>1.004532015011449</v>
      </c>
    </row>
    <row r="262" spans="5:6" x14ac:dyDescent="0.35">
      <c r="E262">
        <v>1.0112287780275873</v>
      </c>
      <c r="F262">
        <v>1.0023093345011154</v>
      </c>
    </row>
    <row r="263" spans="5:6" x14ac:dyDescent="0.35">
      <c r="E263">
        <v>1.010126815685668</v>
      </c>
      <c r="F263">
        <v>0.99777956828061765</v>
      </c>
    </row>
    <row r="264" spans="5:6" x14ac:dyDescent="0.35">
      <c r="E264">
        <v>1.0113722395035363</v>
      </c>
      <c r="F264">
        <v>1.0049134992822786</v>
      </c>
    </row>
    <row r="265" spans="5:6" x14ac:dyDescent="0.35">
      <c r="E265">
        <v>1.0098244798008782</v>
      </c>
      <c r="F265">
        <v>0.97796055837223272</v>
      </c>
    </row>
    <row r="266" spans="5:6" x14ac:dyDescent="0.35">
      <c r="E266">
        <v>1.0116563456128844</v>
      </c>
      <c r="F266">
        <v>0.98312815986007063</v>
      </c>
    </row>
    <row r="267" spans="5:6" x14ac:dyDescent="0.35">
      <c r="E267">
        <v>1.0110640813272491</v>
      </c>
      <c r="F267">
        <v>0.97880121883376947</v>
      </c>
    </row>
    <row r="268" spans="5:6" x14ac:dyDescent="0.35">
      <c r="E268">
        <v>1.0099403638417774</v>
      </c>
      <c r="F268">
        <v>0.98083957861191795</v>
      </c>
    </row>
    <row r="269" spans="5:6" x14ac:dyDescent="0.35">
      <c r="E269">
        <v>1.0118567366627684</v>
      </c>
      <c r="F269">
        <v>0.98402048486921212</v>
      </c>
    </row>
    <row r="270" spans="5:6" x14ac:dyDescent="0.35">
      <c r="E270">
        <v>1.0076308417744295</v>
      </c>
      <c r="F270">
        <v>0.97590440553724289</v>
      </c>
    </row>
    <row r="271" spans="5:6" x14ac:dyDescent="0.35">
      <c r="E271">
        <v>1.0098360494787375</v>
      </c>
      <c r="F271">
        <v>0.98057624695082546</v>
      </c>
    </row>
    <row r="272" spans="5:6" x14ac:dyDescent="0.35">
      <c r="E272">
        <v>1.0103268399252472</v>
      </c>
      <c r="F272">
        <v>0.97677062145233162</v>
      </c>
    </row>
    <row r="273" spans="5:6" x14ac:dyDescent="0.35">
      <c r="E273">
        <v>1.007393623996929</v>
      </c>
      <c r="F273">
        <v>0.97688226118747568</v>
      </c>
    </row>
    <row r="274" spans="5:6" x14ac:dyDescent="0.35">
      <c r="E274">
        <v>1.0009201899022415</v>
      </c>
      <c r="F274">
        <v>0.98268599228537323</v>
      </c>
    </row>
    <row r="275" spans="5:6" x14ac:dyDescent="0.35">
      <c r="E275">
        <v>1.0095735960104855</v>
      </c>
      <c r="F275">
        <v>0.97798549803495927</v>
      </c>
    </row>
    <row r="276" spans="5:6" x14ac:dyDescent="0.35">
      <c r="E276">
        <v>1.0103669022362372</v>
      </c>
      <c r="F276">
        <v>0.98211764740358265</v>
      </c>
    </row>
    <row r="277" spans="5:6" x14ac:dyDescent="0.35">
      <c r="E277">
        <v>1.0118194694761868</v>
      </c>
      <c r="F277">
        <v>0.98153259569622608</v>
      </c>
    </row>
    <row r="278" spans="5:6" x14ac:dyDescent="0.35">
      <c r="E278">
        <v>1.0129889500985665</v>
      </c>
      <c r="F278">
        <v>0.9859934945228751</v>
      </c>
    </row>
    <row r="279" spans="5:6" x14ac:dyDescent="0.35">
      <c r="E279">
        <v>1.0105904972583268</v>
      </c>
      <c r="F279">
        <v>0.97797720630079377</v>
      </c>
    </row>
    <row r="280" spans="5:6" x14ac:dyDescent="0.35">
      <c r="E280">
        <v>1.0115827371586317</v>
      </c>
      <c r="F280">
        <v>0.98059105493139931</v>
      </c>
    </row>
    <row r="281" spans="5:6" x14ac:dyDescent="0.35">
      <c r="E281">
        <v>1.012741160432042</v>
      </c>
      <c r="F281">
        <v>0.98433819763996022</v>
      </c>
    </row>
    <row r="282" spans="5:6" x14ac:dyDescent="0.35">
      <c r="E282">
        <v>1.0098533948142143</v>
      </c>
      <c r="F282">
        <v>0.97899633575902645</v>
      </c>
    </row>
    <row r="283" spans="5:6" x14ac:dyDescent="0.35">
      <c r="E283">
        <v>1.0111315908827221</v>
      </c>
      <c r="F283">
        <v>0.98338522309718546</v>
      </c>
    </row>
    <row r="284" spans="5:6" x14ac:dyDescent="0.35">
      <c r="E284">
        <v>1.0042842086856247</v>
      </c>
      <c r="F284">
        <v>0.98987525895887496</v>
      </c>
    </row>
    <row r="285" spans="5:6" x14ac:dyDescent="0.35">
      <c r="E285">
        <v>1.0043888652309232</v>
      </c>
      <c r="F285">
        <v>0.9956671490720661</v>
      </c>
    </row>
    <row r="286" spans="5:6" x14ac:dyDescent="0.35">
      <c r="E286">
        <v>1.0085784909425397</v>
      </c>
      <c r="F286">
        <v>0.99241066056867577</v>
      </c>
    </row>
    <row r="287" spans="5:6" x14ac:dyDescent="0.35">
      <c r="E287">
        <v>1.008890485745118</v>
      </c>
      <c r="F287">
        <v>0.9965070815670789</v>
      </c>
    </row>
    <row r="288" spans="5:6" x14ac:dyDescent="0.35">
      <c r="E288">
        <v>1.0065032147704196</v>
      </c>
      <c r="F288">
        <v>0.99291583270436867</v>
      </c>
    </row>
    <row r="289" spans="5:6" x14ac:dyDescent="0.35">
      <c r="E289">
        <v>1.0041636606538906</v>
      </c>
      <c r="F289">
        <v>0.98949148288320421</v>
      </c>
    </row>
    <row r="290" spans="5:6" x14ac:dyDescent="0.35">
      <c r="E290">
        <v>1.0051637131924103</v>
      </c>
      <c r="F290">
        <v>0.99545475752028778</v>
      </c>
    </row>
    <row r="291" spans="5:6" x14ac:dyDescent="0.35">
      <c r="E291">
        <v>1.005603465445803</v>
      </c>
      <c r="F291">
        <v>0.98910848842886867</v>
      </c>
    </row>
    <row r="292" spans="5:6" x14ac:dyDescent="0.35">
      <c r="E292">
        <v>1.0064424296468213</v>
      </c>
      <c r="F292">
        <v>0.99545475752028778</v>
      </c>
    </row>
    <row r="293" spans="5:6" x14ac:dyDescent="0.35">
      <c r="E293">
        <v>1.0018287882763772</v>
      </c>
      <c r="F293">
        <v>0.99175298629170894</v>
      </c>
    </row>
    <row r="294" spans="5:6" x14ac:dyDescent="0.35">
      <c r="E294">
        <v>1.0020589216650044</v>
      </c>
      <c r="F294">
        <v>0.99683825904304058</v>
      </c>
    </row>
    <row r="295" spans="5:6" x14ac:dyDescent="0.35">
      <c r="E295">
        <v>1.0089388015817193</v>
      </c>
      <c r="F295">
        <v>0.98923938314234217</v>
      </c>
    </row>
    <row r="296" spans="5:6" x14ac:dyDescent="0.35">
      <c r="E296">
        <v>1.0099416207356062</v>
      </c>
      <c r="F296">
        <v>0.99596096385515709</v>
      </c>
    </row>
    <row r="297" spans="5:6" x14ac:dyDescent="0.35">
      <c r="E297">
        <v>1.0022668050998047</v>
      </c>
      <c r="F297">
        <v>0.99067007429629661</v>
      </c>
    </row>
    <row r="298" spans="5:6" x14ac:dyDescent="0.35">
      <c r="E298">
        <v>1.0034447035556022</v>
      </c>
      <c r="F298">
        <v>0.99637105173718088</v>
      </c>
    </row>
    <row r="299" spans="5:6" x14ac:dyDescent="0.35">
      <c r="E299">
        <v>1.0034507648696229</v>
      </c>
      <c r="F299">
        <v>0.9894309959154326</v>
      </c>
    </row>
    <row r="300" spans="5:6" x14ac:dyDescent="0.35">
      <c r="E300">
        <v>1.0073879392362599</v>
      </c>
      <c r="F300">
        <v>0.98867493555176822</v>
      </c>
    </row>
    <row r="301" spans="5:6" x14ac:dyDescent="0.35">
      <c r="E301">
        <v>1.0073730010547679</v>
      </c>
      <c r="F301">
        <v>0.99457848250188774</v>
      </c>
    </row>
    <row r="302" spans="5:6" x14ac:dyDescent="0.35">
      <c r="E302">
        <v>1.0016096656192737</v>
      </c>
      <c r="F302">
        <v>0.99050116806981969</v>
      </c>
    </row>
    <row r="303" spans="5:6" x14ac:dyDescent="0.35">
      <c r="E303">
        <v>1.0021299823286864</v>
      </c>
      <c r="F303">
        <v>0.99603820953677236</v>
      </c>
    </row>
    <row r="304" spans="5:6" x14ac:dyDescent="0.35">
      <c r="E304">
        <v>1.0060329972976834</v>
      </c>
      <c r="F304">
        <v>0.98949148288320421</v>
      </c>
    </row>
    <row r="305" spans="5:6" x14ac:dyDescent="0.35">
      <c r="E305">
        <v>1.0064677752609059</v>
      </c>
      <c r="F305">
        <v>0.99354030807084948</v>
      </c>
    </row>
    <row r="306" spans="5:6" x14ac:dyDescent="0.35">
      <c r="E306">
        <v>1.0062478303799487</v>
      </c>
      <c r="F306">
        <v>0.98724198928730122</v>
      </c>
    </row>
    <row r="307" spans="5:6" x14ac:dyDescent="0.35">
      <c r="E307">
        <v>1.0024150672708583</v>
      </c>
      <c r="F307">
        <v>0.99625403253671652</v>
      </c>
    </row>
    <row r="308" spans="5:6" x14ac:dyDescent="0.35">
      <c r="E308">
        <v>1.0108273394393432</v>
      </c>
      <c r="F308">
        <v>0.98382946324621057</v>
      </c>
    </row>
    <row r="309" spans="5:6" x14ac:dyDescent="0.35">
      <c r="E309">
        <v>1.0067422760201932</v>
      </c>
      <c r="F309">
        <v>0.99459521233722326</v>
      </c>
    </row>
    <row r="310" spans="5:6" x14ac:dyDescent="0.35">
      <c r="E310">
        <v>1.0101648624799593</v>
      </c>
      <c r="F310">
        <v>0.98452859597446207</v>
      </c>
    </row>
    <row r="311" spans="5:6" x14ac:dyDescent="0.35">
      <c r="E311">
        <v>0.99497221931020008</v>
      </c>
      <c r="F311">
        <v>1.0007548636399652</v>
      </c>
    </row>
    <row r="312" spans="5:6" x14ac:dyDescent="0.35">
      <c r="E312">
        <v>0.99445176126267376</v>
      </c>
      <c r="F312">
        <v>1.0076749704365169</v>
      </c>
    </row>
    <row r="313" spans="5:6" x14ac:dyDescent="0.35">
      <c r="E313">
        <v>0.99287041871149628</v>
      </c>
      <c r="F313">
        <v>1.0033307006303818</v>
      </c>
    </row>
    <row r="314" spans="5:6" x14ac:dyDescent="0.35">
      <c r="E314">
        <v>0.99437837837837839</v>
      </c>
      <c r="F314">
        <v>1.0044282065364374</v>
      </c>
    </row>
    <row r="315" spans="5:6" x14ac:dyDescent="0.35">
      <c r="E315">
        <v>0.99645697454239424</v>
      </c>
      <c r="F315">
        <v>1.0036548435929029</v>
      </c>
    </row>
    <row r="316" spans="5:6" x14ac:dyDescent="0.35">
      <c r="E316">
        <v>0.99684331556391759</v>
      </c>
      <c r="F316">
        <v>1.0077305968904631</v>
      </c>
    </row>
    <row r="317" spans="5:6" x14ac:dyDescent="0.35">
      <c r="E317">
        <v>0.99289617486338799</v>
      </c>
      <c r="F317">
        <v>1.0046001985145183</v>
      </c>
    </row>
    <row r="318" spans="5:6" x14ac:dyDescent="0.35">
      <c r="E318">
        <v>0.99372696817420447</v>
      </c>
      <c r="F318">
        <v>1.0076324393467047</v>
      </c>
    </row>
    <row r="319" spans="5:6" x14ac:dyDescent="0.35">
      <c r="E319">
        <v>0.99648489932885909</v>
      </c>
      <c r="F319">
        <v>1.0042464519625645</v>
      </c>
    </row>
    <row r="320" spans="5:6" x14ac:dyDescent="0.35">
      <c r="E320">
        <v>0.99473552686380684</v>
      </c>
      <c r="F320">
        <v>1.0037553908740349</v>
      </c>
    </row>
    <row r="321" spans="5:6" x14ac:dyDescent="0.35">
      <c r="E321">
        <v>0.99471143756558245</v>
      </c>
      <c r="F321">
        <v>1.0061209444342882</v>
      </c>
    </row>
    <row r="322" spans="5:6" x14ac:dyDescent="0.35">
      <c r="E322">
        <v>0.99440501043841334</v>
      </c>
      <c r="F322">
        <v>1.0065230079207839</v>
      </c>
    </row>
    <row r="323" spans="5:6" x14ac:dyDescent="0.35">
      <c r="E323">
        <v>0.99395918367346936</v>
      </c>
      <c r="F323">
        <v>1.0018004913933714</v>
      </c>
    </row>
    <row r="324" spans="5:6" x14ac:dyDescent="0.35">
      <c r="E324">
        <v>0.99491957384583252</v>
      </c>
      <c r="F324">
        <v>1.0095999079372973</v>
      </c>
    </row>
    <row r="325" spans="5:6" x14ac:dyDescent="0.35">
      <c r="E325">
        <v>0.99579809004092779</v>
      </c>
      <c r="F325">
        <v>1.0063813951058995</v>
      </c>
    </row>
    <row r="326" spans="5:6" x14ac:dyDescent="0.35">
      <c r="E326">
        <v>0.99460317460317449</v>
      </c>
      <c r="F326">
        <v>1.0064271886305785</v>
      </c>
    </row>
    <row r="327" spans="5:6" x14ac:dyDescent="0.35">
      <c r="E327">
        <v>0.99605326622627655</v>
      </c>
      <c r="F327">
        <v>1.0042537388794599</v>
      </c>
    </row>
    <row r="328" spans="5:6" x14ac:dyDescent="0.35">
      <c r="E328">
        <v>0.99565008862475246</v>
      </c>
      <c r="F328">
        <v>1.0043083107784436</v>
      </c>
    </row>
    <row r="329" spans="5:6" x14ac:dyDescent="0.35">
      <c r="E329">
        <v>0.99739048219350757</v>
      </c>
      <c r="F329">
        <v>1.0057657643535027</v>
      </c>
    </row>
    <row r="330" spans="5:6" x14ac:dyDescent="0.35">
      <c r="E330">
        <v>0.9964039305874971</v>
      </c>
      <c r="F330">
        <v>1.0067832931568634</v>
      </c>
    </row>
    <row r="331" spans="5:6" x14ac:dyDescent="0.35">
      <c r="E331">
        <v>0.99394753410283321</v>
      </c>
      <c r="F331">
        <v>1.0027830823320862</v>
      </c>
    </row>
    <row r="332" spans="5:6" x14ac:dyDescent="0.35">
      <c r="E332">
        <v>0.99517896274653028</v>
      </c>
      <c r="F332">
        <v>1.0062145481935132</v>
      </c>
    </row>
    <row r="333" spans="5:6" x14ac:dyDescent="0.35">
      <c r="E333">
        <v>0.99548468317247174</v>
      </c>
      <c r="F333">
        <v>1.0069743124957256</v>
      </c>
    </row>
    <row r="334" spans="5:6" x14ac:dyDescent="0.35">
      <c r="E334">
        <v>0.99586033869956081</v>
      </c>
      <c r="F334">
        <v>1.0066644409479215</v>
      </c>
    </row>
    <row r="335" spans="5:6" x14ac:dyDescent="0.35">
      <c r="E335">
        <v>0.99420903658664428</v>
      </c>
      <c r="F335">
        <v>1.0040331908769915</v>
      </c>
    </row>
    <row r="336" spans="5:6" x14ac:dyDescent="0.35">
      <c r="E336">
        <v>0.99580244335386858</v>
      </c>
      <c r="F336">
        <v>1.004986009566474</v>
      </c>
    </row>
    <row r="337" spans="5:6" x14ac:dyDescent="0.35">
      <c r="E337">
        <v>0.99447079719987463</v>
      </c>
      <c r="F337">
        <v>1.0116392224250792</v>
      </c>
    </row>
    <row r="338" spans="5:6" x14ac:dyDescent="0.35">
      <c r="E338">
        <v>0.99490016638935108</v>
      </c>
      <c r="F338">
        <v>1.0125548616051585</v>
      </c>
    </row>
    <row r="339" spans="5:6" x14ac:dyDescent="0.35">
      <c r="E339">
        <v>0.99502702702702717</v>
      </c>
      <c r="F339">
        <v>1.0114717221561247</v>
      </c>
    </row>
    <row r="340" spans="5:6" x14ac:dyDescent="0.35">
      <c r="E340">
        <v>0.99375601590290841</v>
      </c>
      <c r="F340">
        <v>1.0049344715277855</v>
      </c>
    </row>
    <row r="341" spans="5:6" x14ac:dyDescent="0.35">
      <c r="E341">
        <v>0.99579297443358961</v>
      </c>
      <c r="F341">
        <v>1.0126304580858461</v>
      </c>
    </row>
    <row r="342" spans="5:6" x14ac:dyDescent="0.35">
      <c r="E342">
        <v>0.99566184880940001</v>
      </c>
      <c r="F342">
        <v>1.010647532040517</v>
      </c>
    </row>
    <row r="343" spans="5:6" x14ac:dyDescent="0.35">
      <c r="E343">
        <v>0.9933987883852099</v>
      </c>
      <c r="F343">
        <v>1.0110281518517747</v>
      </c>
    </row>
    <row r="344" spans="5:6" x14ac:dyDescent="0.35">
      <c r="E344">
        <v>0.99646813827571845</v>
      </c>
      <c r="F344">
        <v>1.0081001497489375</v>
      </c>
    </row>
    <row r="345" spans="5:6" x14ac:dyDescent="0.35">
      <c r="E345">
        <v>0.99171081333748812</v>
      </c>
      <c r="F345">
        <v>1.0120820901940217</v>
      </c>
    </row>
    <row r="346" spans="5:6" x14ac:dyDescent="0.35">
      <c r="E346">
        <v>0.99544409613375129</v>
      </c>
      <c r="F346">
        <v>1.0104520206890086</v>
      </c>
    </row>
    <row r="347" spans="5:6" x14ac:dyDescent="0.35">
      <c r="E347">
        <v>0.99482520410299335</v>
      </c>
      <c r="F347">
        <v>1.0032500136610187</v>
      </c>
    </row>
    <row r="348" spans="5:6" x14ac:dyDescent="0.35">
      <c r="E348">
        <v>0.99588604943443659</v>
      </c>
      <c r="F348">
        <v>1.012326005705243</v>
      </c>
    </row>
    <row r="349" spans="5:6" x14ac:dyDescent="0.35">
      <c r="E349">
        <v>0.99473081328751434</v>
      </c>
      <c r="F349">
        <v>1.0064499984064843</v>
      </c>
    </row>
    <row r="350" spans="5:6" x14ac:dyDescent="0.35">
      <c r="E350">
        <v>0.99746044962531222</v>
      </c>
      <c r="F350">
        <v>1.0111080071678378</v>
      </c>
    </row>
    <row r="351" spans="5:6" x14ac:dyDescent="0.35">
      <c r="E351">
        <v>0.99381400208986403</v>
      </c>
      <c r="F351">
        <v>1.0127994277064489</v>
      </c>
    </row>
    <row r="352" spans="5:6" x14ac:dyDescent="0.35">
      <c r="E352">
        <v>0.99559720920545658</v>
      </c>
      <c r="F352">
        <v>1.0117149671187178</v>
      </c>
    </row>
    <row r="353" spans="5:6" x14ac:dyDescent="0.35">
      <c r="E353">
        <v>0.99543166215935086</v>
      </c>
      <c r="F353">
        <v>1.0110742356639244</v>
      </c>
    </row>
    <row r="354" spans="5:6" x14ac:dyDescent="0.35">
      <c r="E354">
        <v>0.99428452665488931</v>
      </c>
      <c r="F354">
        <v>1.0088316868854135</v>
      </c>
    </row>
    <row r="355" spans="5:6" x14ac:dyDescent="0.35">
      <c r="E355">
        <v>0.99575618889120021</v>
      </c>
      <c r="F355">
        <v>1.0107858785006381</v>
      </c>
    </row>
    <row r="356" spans="5:6" x14ac:dyDescent="0.35">
      <c r="E356">
        <v>0.9969069791775661</v>
      </c>
      <c r="F356">
        <v>1.012859817210052</v>
      </c>
    </row>
    <row r="357" spans="5:6" x14ac:dyDescent="0.35">
      <c r="E357">
        <v>0.99566395663956653</v>
      </c>
      <c r="F357">
        <v>1.0127227836463497</v>
      </c>
    </row>
    <row r="358" spans="5:6" x14ac:dyDescent="0.35">
      <c r="E358">
        <v>0.99636593059936918</v>
      </c>
      <c r="F358">
        <v>1.0075251614595286</v>
      </c>
    </row>
    <row r="359" spans="5:6" x14ac:dyDescent="0.35">
      <c r="E359">
        <v>0.9947262337662337</v>
      </c>
      <c r="F359">
        <v>1.0112877226224684</v>
      </c>
    </row>
    <row r="360" spans="5:6" x14ac:dyDescent="0.35">
      <c r="E360">
        <v>0.99545945945945946</v>
      </c>
      <c r="F360">
        <v>1.012524211451765</v>
      </c>
    </row>
    <row r="361" spans="5:6" x14ac:dyDescent="0.35">
      <c r="E361">
        <v>0.995839798699937</v>
      </c>
      <c r="F361">
        <v>1.0061690531570699</v>
      </c>
    </row>
    <row r="362" spans="5:6" x14ac:dyDescent="0.35">
      <c r="E362">
        <v>0.99482489868024526</v>
      </c>
      <c r="F362">
        <v>1.0101929968436643</v>
      </c>
    </row>
    <row r="363" spans="5:6" x14ac:dyDescent="0.35">
      <c r="E363">
        <v>0.99714909998959511</v>
      </c>
      <c r="F363">
        <v>1.0135286307956468</v>
      </c>
    </row>
    <row r="364" spans="5:6" x14ac:dyDescent="0.35">
      <c r="E364">
        <v>0.99732275242769119</v>
      </c>
      <c r="F364">
        <v>1.004940590124477</v>
      </c>
    </row>
    <row r="365" spans="5:6" x14ac:dyDescent="0.35">
      <c r="E365">
        <v>0.99383303877741969</v>
      </c>
      <c r="F365">
        <v>1.0084852810219875</v>
      </c>
    </row>
    <row r="366" spans="5:6" x14ac:dyDescent="0.35">
      <c r="E366">
        <v>0.99404449989602817</v>
      </c>
      <c r="F366">
        <v>1.0119445642941622</v>
      </c>
    </row>
    <row r="367" spans="5:6" x14ac:dyDescent="0.35">
      <c r="E367">
        <v>0.99433242506811981</v>
      </c>
      <c r="F367">
        <v>1.0060982941419878</v>
      </c>
    </row>
    <row r="368" spans="5:6" x14ac:dyDescent="0.35">
      <c r="E368">
        <v>0.99437643618132443</v>
      </c>
      <c r="F368">
        <v>1.0135286307956468</v>
      </c>
    </row>
    <row r="369" spans="5:6" x14ac:dyDescent="0.35">
      <c r="E369">
        <v>0.99689854160109093</v>
      </c>
      <c r="F369">
        <v>1.0118068641638556</v>
      </c>
    </row>
    <row r="370" spans="5:6" x14ac:dyDescent="0.35">
      <c r="E370">
        <v>0.99518654755648972</v>
      </c>
      <c r="F370">
        <v>1.0054560879275234</v>
      </c>
    </row>
    <row r="371" spans="5:6" x14ac:dyDescent="0.35">
      <c r="E371">
        <v>0.99474950319004285</v>
      </c>
      <c r="F371">
        <v>1.009822994018571</v>
      </c>
    </row>
    <row r="372" spans="5:6" x14ac:dyDescent="0.35">
      <c r="E372">
        <v>0.99421863536316946</v>
      </c>
      <c r="F372">
        <v>1.0027688960693097</v>
      </c>
    </row>
    <row r="373" spans="5:6" x14ac:dyDescent="0.35">
      <c r="E373">
        <v>0.99589066918001889</v>
      </c>
      <c r="F373">
        <v>1.0114717221561247</v>
      </c>
    </row>
    <row r="374" spans="5:6" x14ac:dyDescent="0.35">
      <c r="E374">
        <v>0.99437926330150073</v>
      </c>
      <c r="F374">
        <v>1.0036497933375266</v>
      </c>
    </row>
    <row r="375" spans="5:6" x14ac:dyDescent="0.35">
      <c r="E375">
        <v>0.99657642648896294</v>
      </c>
      <c r="F375">
        <v>1.0107743699516245</v>
      </c>
    </row>
    <row r="376" spans="5:6" x14ac:dyDescent="0.35">
      <c r="E376">
        <v>0.99489130434782613</v>
      </c>
      <c r="F376">
        <v>1.0110742356639244</v>
      </c>
    </row>
    <row r="377" spans="5:6" x14ac:dyDescent="0.35">
      <c r="E377">
        <v>0.99761106454316828</v>
      </c>
      <c r="F377">
        <v>1.0123413325326984</v>
      </c>
    </row>
    <row r="378" spans="5:6" x14ac:dyDescent="0.35">
      <c r="E378">
        <v>0.99448175486017265</v>
      </c>
      <c r="F378">
        <v>1.0111034120160587</v>
      </c>
    </row>
    <row r="379" spans="5:6" x14ac:dyDescent="0.35">
      <c r="E379">
        <v>0.99486792452830186</v>
      </c>
      <c r="F379">
        <v>1.0061465288706002</v>
      </c>
    </row>
    <row r="380" spans="5:6" x14ac:dyDescent="0.35">
      <c r="E380">
        <v>0.9946928541579606</v>
      </c>
      <c r="F380">
        <v>1.0129054565422879</v>
      </c>
    </row>
    <row r="381" spans="5:6" x14ac:dyDescent="0.35">
      <c r="E381">
        <v>0.99502235159579988</v>
      </c>
      <c r="F381">
        <v>1.0137873820417014</v>
      </c>
    </row>
    <row r="382" spans="5:6" x14ac:dyDescent="0.35">
      <c r="E382">
        <v>0.99525719630053</v>
      </c>
      <c r="F382">
        <v>1.0119145444498432</v>
      </c>
    </row>
    <row r="383" spans="5:6" x14ac:dyDescent="0.35">
      <c r="E383">
        <v>0.994184544886482</v>
      </c>
      <c r="F383">
        <v>1.0077729599873078</v>
      </c>
    </row>
    <row r="384" spans="5:6" x14ac:dyDescent="0.35">
      <c r="E384">
        <v>0.99533675500157115</v>
      </c>
      <c r="F384">
        <v>1.0138513467032446</v>
      </c>
    </row>
    <row r="385" spans="5:6" x14ac:dyDescent="0.35">
      <c r="E385">
        <v>0.99420223312115197</v>
      </c>
      <c r="F385">
        <v>1.0148554260598657</v>
      </c>
    </row>
    <row r="386" spans="5:6" x14ac:dyDescent="0.35">
      <c r="E386">
        <v>0.99505232314776071</v>
      </c>
      <c r="F386">
        <v>1.0140198158999951</v>
      </c>
    </row>
    <row r="387" spans="5:6" x14ac:dyDescent="0.35">
      <c r="E387">
        <v>0.99668480535789028</v>
      </c>
      <c r="F387">
        <v>1.0136693954063885</v>
      </c>
    </row>
    <row r="388" spans="5:6" x14ac:dyDescent="0.35">
      <c r="E388">
        <v>0.99381383255330213</v>
      </c>
      <c r="F388">
        <v>1.0106649715890486</v>
      </c>
    </row>
    <row r="389" spans="5:6" x14ac:dyDescent="0.35">
      <c r="E389">
        <v>0.99463087248322146</v>
      </c>
      <c r="F389">
        <v>1.0070936141289688</v>
      </c>
    </row>
    <row r="390" spans="5:6" x14ac:dyDescent="0.35">
      <c r="E390">
        <v>0.99588730637280376</v>
      </c>
      <c r="F390">
        <v>1.0118986836260089</v>
      </c>
    </row>
    <row r="391" spans="5:6" x14ac:dyDescent="0.35">
      <c r="E391">
        <v>0.99367940199335547</v>
      </c>
      <c r="F391">
        <v>1.0124481953686921</v>
      </c>
    </row>
    <row r="392" spans="5:6" x14ac:dyDescent="0.35">
      <c r="E392">
        <v>0.99410645195022473</v>
      </c>
      <c r="F392">
        <v>1.0123718155351564</v>
      </c>
    </row>
    <row r="393" spans="5:6" x14ac:dyDescent="0.35">
      <c r="E393">
        <v>0.99545019754626729</v>
      </c>
      <c r="F393">
        <v>1.0115340059069016</v>
      </c>
    </row>
    <row r="394" spans="5:6" x14ac:dyDescent="0.35">
      <c r="E394">
        <v>0.99562955254942764</v>
      </c>
      <c r="F394">
        <v>1.010174963537976</v>
      </c>
    </row>
    <row r="395" spans="5:6" x14ac:dyDescent="0.35">
      <c r="E395">
        <v>0.99540383014154854</v>
      </c>
      <c r="F395">
        <v>1.0102956877411853</v>
      </c>
    </row>
    <row r="396" spans="5:6" x14ac:dyDescent="0.35">
      <c r="E396">
        <v>1.003855909612309</v>
      </c>
      <c r="F396">
        <v>0.97311264117512475</v>
      </c>
    </row>
    <row r="397" spans="5:6" x14ac:dyDescent="0.35">
      <c r="E397">
        <v>1.0028911665863942</v>
      </c>
      <c r="F397">
        <v>0.97325255395157417</v>
      </c>
    </row>
    <row r="398" spans="5:6" x14ac:dyDescent="0.35">
      <c r="E398">
        <v>0.99878493464492657</v>
      </c>
      <c r="F398">
        <v>0.97216645954816305</v>
      </c>
    </row>
    <row r="399" spans="5:6" x14ac:dyDescent="0.35">
      <c r="E399">
        <v>1.0016626524221675</v>
      </c>
      <c r="F399">
        <v>0.9688786558306155</v>
      </c>
    </row>
    <row r="400" spans="5:6" x14ac:dyDescent="0.35">
      <c r="E400">
        <v>1.0002814362396246</v>
      </c>
      <c r="F400">
        <v>0.97431991240356497</v>
      </c>
    </row>
    <row r="401" spans="5:6" x14ac:dyDescent="0.35">
      <c r="E401">
        <v>1.0042066319539602</v>
      </c>
      <c r="F401">
        <v>0.97200377948976902</v>
      </c>
    </row>
    <row r="402" spans="5:6" x14ac:dyDescent="0.35">
      <c r="E402">
        <v>0.99858370990851997</v>
      </c>
      <c r="F402">
        <v>0.97436730564867224</v>
      </c>
    </row>
    <row r="403" spans="5:6" x14ac:dyDescent="0.35">
      <c r="E403">
        <v>1.0001836300076345</v>
      </c>
      <c r="F403">
        <v>0.97253876019142804</v>
      </c>
    </row>
    <row r="404" spans="5:6" x14ac:dyDescent="0.35">
      <c r="E404">
        <v>1.0006458147637955</v>
      </c>
      <c r="F404">
        <v>0.96764291586941542</v>
      </c>
    </row>
    <row r="405" spans="5:6" x14ac:dyDescent="0.35">
      <c r="E405">
        <v>0.99796953769669783</v>
      </c>
      <c r="F405">
        <v>0.97214562123839843</v>
      </c>
    </row>
    <row r="406" spans="5:6" x14ac:dyDescent="0.35">
      <c r="E406">
        <v>1.0020058826689591</v>
      </c>
      <c r="F406">
        <v>0.97267283605531818</v>
      </c>
    </row>
    <row r="407" spans="5:6" x14ac:dyDescent="0.35">
      <c r="E407">
        <v>1.0019087489382357</v>
      </c>
      <c r="F407">
        <v>0.97313470023184834</v>
      </c>
    </row>
    <row r="408" spans="5:6" x14ac:dyDescent="0.35">
      <c r="E408">
        <v>0.99764854269096059</v>
      </c>
      <c r="F408">
        <v>0.97178756695222357</v>
      </c>
    </row>
    <row r="409" spans="5:6" x14ac:dyDescent="0.35">
      <c r="E409">
        <v>1.0028800213424742</v>
      </c>
      <c r="F409">
        <v>0.9739215753347511</v>
      </c>
    </row>
    <row r="410" spans="5:6" x14ac:dyDescent="0.35">
      <c r="E410">
        <v>1.0010780471622036</v>
      </c>
      <c r="F410">
        <v>0.97376845777026044</v>
      </c>
    </row>
    <row r="411" spans="5:6" x14ac:dyDescent="0.35">
      <c r="E411">
        <v>1.0010780471622036</v>
      </c>
      <c r="F411">
        <v>0.97365081516169805</v>
      </c>
    </row>
    <row r="412" spans="5:6" x14ac:dyDescent="0.35">
      <c r="E412">
        <v>1.008436820751361</v>
      </c>
      <c r="F412">
        <v>1.0024570024570025</v>
      </c>
    </row>
    <row r="413" spans="5:6" x14ac:dyDescent="0.35">
      <c r="E413">
        <v>1.0082776946907381</v>
      </c>
      <c r="F413">
        <v>1.0043678686145121</v>
      </c>
    </row>
    <row r="414" spans="5:6" x14ac:dyDescent="0.35">
      <c r="E414">
        <v>1.0110084189292112</v>
      </c>
      <c r="F414">
        <v>1.0005955069561954</v>
      </c>
    </row>
    <row r="415" spans="5:6" x14ac:dyDescent="0.35">
      <c r="E415">
        <v>1.0049844842948292</v>
      </c>
      <c r="F415">
        <v>0.99970299970299981</v>
      </c>
    </row>
    <row r="416" spans="5:6" x14ac:dyDescent="0.35">
      <c r="E416">
        <v>1.0056634390295809</v>
      </c>
      <c r="F416">
        <v>1.0010129800705718</v>
      </c>
    </row>
    <row r="417" spans="5:6" x14ac:dyDescent="0.35">
      <c r="E417">
        <v>1.0094908814433097</v>
      </c>
      <c r="F417">
        <v>1.0011805527500595</v>
      </c>
    </row>
    <row r="418" spans="5:6" x14ac:dyDescent="0.35">
      <c r="E418">
        <v>1.0096450258331449</v>
      </c>
      <c r="F418">
        <v>1.0033436421496122</v>
      </c>
    </row>
    <row r="419" spans="5:6" x14ac:dyDescent="0.35">
      <c r="E419">
        <v>1.0094352730491345</v>
      </c>
      <c r="F419">
        <v>1.0005955069561954</v>
      </c>
    </row>
    <row r="420" spans="5:6" x14ac:dyDescent="0.35">
      <c r="E420">
        <v>1.0110084189292112</v>
      </c>
      <c r="F420">
        <v>1.0033724883039954</v>
      </c>
    </row>
    <row r="421" spans="5:6" x14ac:dyDescent="0.35">
      <c r="E421">
        <v>1.0077485798942494</v>
      </c>
      <c r="F421">
        <v>1.0007378551067871</v>
      </c>
    </row>
    <row r="422" spans="5:6" x14ac:dyDescent="0.35">
      <c r="E422">
        <v>1.0107025294525296</v>
      </c>
      <c r="F422">
        <v>1.003008955437102</v>
      </c>
    </row>
    <row r="423" spans="5:6" x14ac:dyDescent="0.35">
      <c r="E423">
        <v>1.0110655864372418</v>
      </c>
      <c r="F423">
        <v>1.0012626092426593</v>
      </c>
    </row>
    <row r="424" spans="5:6" x14ac:dyDescent="0.35">
      <c r="E424">
        <v>1.0111132953212163</v>
      </c>
      <c r="F424">
        <v>1.0033724883039954</v>
      </c>
    </row>
    <row r="425" spans="5:6" x14ac:dyDescent="0.35">
      <c r="E425">
        <v>1.008532716118923</v>
      </c>
      <c r="F425">
        <v>1.0017353510999163</v>
      </c>
    </row>
    <row r="426" spans="5:6" x14ac:dyDescent="0.35">
      <c r="E426">
        <v>1.0083782348575248</v>
      </c>
      <c r="F426">
        <v>1.0035119865628341</v>
      </c>
    </row>
    <row r="427" spans="5:6" x14ac:dyDescent="0.35">
      <c r="E427">
        <v>1.0077006195959799</v>
      </c>
      <c r="F427">
        <v>1.0013742556115437</v>
      </c>
    </row>
    <row r="428" spans="5:6" x14ac:dyDescent="0.35">
      <c r="E428">
        <v>1.0088508434016825</v>
      </c>
      <c r="F428">
        <v>1.0035932922223045</v>
      </c>
    </row>
    <row r="429" spans="5:6" x14ac:dyDescent="0.35">
      <c r="E429">
        <v>1.0065503957902773</v>
      </c>
      <c r="F429">
        <v>1.00087531477666</v>
      </c>
    </row>
    <row r="430" spans="5:6" x14ac:dyDescent="0.35">
      <c r="E430">
        <v>1.0077006195959799</v>
      </c>
      <c r="F430">
        <v>1.0030941162500475</v>
      </c>
    </row>
    <row r="431" spans="5:6" x14ac:dyDescent="0.35">
      <c r="E431">
        <v>1.0112755471030992</v>
      </c>
      <c r="F431">
        <v>1.0030404562706881</v>
      </c>
    </row>
    <row r="432" spans="5:6" x14ac:dyDescent="0.35">
      <c r="E432">
        <v>1.0100157831079537</v>
      </c>
      <c r="F432">
        <v>1.0002337667008325</v>
      </c>
    </row>
    <row r="433" spans="5:6" x14ac:dyDescent="0.35">
      <c r="E433">
        <v>1.0101694077931702</v>
      </c>
      <c r="F433">
        <v>1.0030119805904558</v>
      </c>
    </row>
    <row r="434" spans="5:6" x14ac:dyDescent="0.35">
      <c r="E434">
        <v>1.0083865091290836</v>
      </c>
      <c r="F434">
        <v>1.0009570667924781</v>
      </c>
    </row>
    <row r="435" spans="5:6" x14ac:dyDescent="0.35">
      <c r="E435">
        <v>1.0101207634408824</v>
      </c>
      <c r="F435">
        <v>1.0043979752717616</v>
      </c>
    </row>
    <row r="436" spans="5:6" x14ac:dyDescent="0.35">
      <c r="E436">
        <v>1.0106937897531958</v>
      </c>
      <c r="F436">
        <v>1.0029566072426774</v>
      </c>
    </row>
    <row r="437" spans="5:6" x14ac:dyDescent="0.35">
      <c r="E437">
        <v>1.0118474300652518</v>
      </c>
      <c r="F437">
        <v>1.0051175833708803</v>
      </c>
    </row>
    <row r="438" spans="5:6" x14ac:dyDescent="0.35">
      <c r="E438">
        <v>1.0083280143990905</v>
      </c>
      <c r="F438">
        <v>1.0020395207801502</v>
      </c>
    </row>
    <row r="439" spans="5:6" x14ac:dyDescent="0.35">
      <c r="E439">
        <v>1.0077006195959799</v>
      </c>
      <c r="F439">
        <v>0.99704811194172882</v>
      </c>
    </row>
    <row r="440" spans="5:6" x14ac:dyDescent="0.35">
      <c r="E440">
        <v>1.0095893199750767</v>
      </c>
      <c r="F440">
        <v>1.0009570667924781</v>
      </c>
    </row>
    <row r="441" spans="5:6" x14ac:dyDescent="0.35">
      <c r="E441">
        <v>1.0081767563450732</v>
      </c>
      <c r="F441">
        <v>0.9938718963413401</v>
      </c>
    </row>
    <row r="442" spans="5:6" x14ac:dyDescent="0.35">
      <c r="E442">
        <v>1.0077514587869618</v>
      </c>
      <c r="F442">
        <v>1.0013742556115437</v>
      </c>
    </row>
    <row r="443" spans="5:6" x14ac:dyDescent="0.35">
      <c r="E443">
        <v>1.0078051853964982</v>
      </c>
      <c r="F443">
        <v>0.99820718474085057</v>
      </c>
    </row>
    <row r="444" spans="5:6" x14ac:dyDescent="0.35">
      <c r="E444">
        <v>1.0112181717132211</v>
      </c>
      <c r="F444">
        <v>1.0033460749349998</v>
      </c>
    </row>
    <row r="445" spans="5:6" x14ac:dyDescent="0.35">
      <c r="E445">
        <v>1.0106937897531958</v>
      </c>
      <c r="F445">
        <v>0.99989644817231016</v>
      </c>
    </row>
    <row r="446" spans="5:6" x14ac:dyDescent="0.35">
      <c r="E446">
        <v>1.0101056330079035</v>
      </c>
      <c r="F446">
        <v>1.0018736941430209</v>
      </c>
    </row>
    <row r="447" spans="5:6" x14ac:dyDescent="0.35">
      <c r="E447">
        <v>1.0086417118006457</v>
      </c>
      <c r="F447">
        <v>0.99662246432014445</v>
      </c>
    </row>
    <row r="448" spans="5:6" x14ac:dyDescent="0.35">
      <c r="E448">
        <v>1.0102664080924952</v>
      </c>
      <c r="F448">
        <v>1.0023180155448685</v>
      </c>
    </row>
    <row r="449" spans="5:6" x14ac:dyDescent="0.35">
      <c r="E449">
        <v>1.0086417118006457</v>
      </c>
      <c r="F449">
        <v>0.99746882233747391</v>
      </c>
    </row>
    <row r="450" spans="5:6" x14ac:dyDescent="0.35">
      <c r="E450">
        <v>1.0103710772189034</v>
      </c>
      <c r="F450">
        <v>1.0022067010831057</v>
      </c>
    </row>
    <row r="451" spans="5:6" x14ac:dyDescent="0.35">
      <c r="E451">
        <v>1.0069157573595444</v>
      </c>
      <c r="F451">
        <v>1.0008968448188058</v>
      </c>
    </row>
    <row r="452" spans="5:6" x14ac:dyDescent="0.35">
      <c r="E452">
        <v>1.0072823563939062</v>
      </c>
      <c r="F452">
        <v>0.99532306887823518</v>
      </c>
    </row>
    <row r="453" spans="5:6" x14ac:dyDescent="0.35">
      <c r="E453">
        <v>1.0123134090493142</v>
      </c>
      <c r="F453">
        <v>1.0036776502529929</v>
      </c>
    </row>
    <row r="454" spans="5:6" x14ac:dyDescent="0.35">
      <c r="E454">
        <v>1.0112656824822999</v>
      </c>
      <c r="F454">
        <v>1.000458085203848</v>
      </c>
    </row>
    <row r="455" spans="5:6" x14ac:dyDescent="0.35">
      <c r="E455">
        <v>1.0074380707516803</v>
      </c>
      <c r="F455">
        <v>1.0025403114408351</v>
      </c>
    </row>
    <row r="456" spans="5:6" x14ac:dyDescent="0.35">
      <c r="E456">
        <v>1.0072291453948259</v>
      </c>
      <c r="F456">
        <v>0.99881826964121212</v>
      </c>
    </row>
    <row r="457" spans="5:6" x14ac:dyDescent="0.35">
      <c r="E457">
        <v>1.0102821915321916</v>
      </c>
      <c r="F457">
        <v>1.0022913344678341</v>
      </c>
    </row>
    <row r="458" spans="5:6" x14ac:dyDescent="0.35">
      <c r="E458">
        <v>1.0113230481052264</v>
      </c>
      <c r="F458">
        <v>1.0047578688693672</v>
      </c>
    </row>
    <row r="459" spans="5:6" x14ac:dyDescent="0.35">
      <c r="E459">
        <v>1.0099524007132703</v>
      </c>
      <c r="F459">
        <v>1.0039828122019903</v>
      </c>
    </row>
    <row r="460" spans="5:6" x14ac:dyDescent="0.35">
      <c r="E460">
        <v>0.98067990187263121</v>
      </c>
      <c r="F460">
        <v>0.98714916620411708</v>
      </c>
    </row>
    <row r="461" spans="5:6" x14ac:dyDescent="0.35">
      <c r="E461">
        <v>0.98634874200450795</v>
      </c>
      <c r="F461">
        <v>0.9867612472498295</v>
      </c>
    </row>
    <row r="462" spans="5:6" x14ac:dyDescent="0.35">
      <c r="E462">
        <v>0.98364493273822529</v>
      </c>
      <c r="F462">
        <v>0.98741128759716135</v>
      </c>
    </row>
    <row r="463" spans="5:6" x14ac:dyDescent="0.35">
      <c r="E463">
        <v>0.98459296027495169</v>
      </c>
      <c r="F463">
        <v>0.98759962510294175</v>
      </c>
    </row>
    <row r="464" spans="5:6" x14ac:dyDescent="0.35">
      <c r="E464">
        <v>0.98405863443662911</v>
      </c>
      <c r="F464">
        <v>0.9888490462500561</v>
      </c>
    </row>
    <row r="465" spans="5:6" x14ac:dyDescent="0.35">
      <c r="E465">
        <v>0.98392363412208217</v>
      </c>
      <c r="F465">
        <v>0.98779903398963664</v>
      </c>
    </row>
    <row r="466" spans="5:6" x14ac:dyDescent="0.35">
      <c r="E466">
        <v>0.98511435768033018</v>
      </c>
      <c r="F466">
        <v>0.98792438657124271</v>
      </c>
    </row>
    <row r="467" spans="5:6" x14ac:dyDescent="0.35">
      <c r="E467">
        <v>0.98007382354008299</v>
      </c>
      <c r="F467">
        <v>0.98741128759716135</v>
      </c>
    </row>
    <row r="468" spans="5:6" x14ac:dyDescent="0.35">
      <c r="E468">
        <v>0.98666463688772299</v>
      </c>
      <c r="F468">
        <v>0.98942370345343533</v>
      </c>
    </row>
    <row r="469" spans="5:6" x14ac:dyDescent="0.35">
      <c r="E469">
        <v>0.98256886633188389</v>
      </c>
      <c r="F469">
        <v>0.98753687925662448</v>
      </c>
    </row>
    <row r="470" spans="5:6" x14ac:dyDescent="0.35">
      <c r="E470">
        <v>0.98561859267026519</v>
      </c>
      <c r="F470">
        <v>1.0104059237715075</v>
      </c>
    </row>
    <row r="471" spans="5:6" x14ac:dyDescent="0.35">
      <c r="E471">
        <v>0.98564885685408932</v>
      </c>
      <c r="F471">
        <v>1.0038897251563677</v>
      </c>
    </row>
    <row r="472" spans="5:6" x14ac:dyDescent="0.35">
      <c r="E472">
        <v>0.98313346829852877</v>
      </c>
      <c r="F472">
        <v>1.0016383301552914</v>
      </c>
    </row>
    <row r="473" spans="5:6" x14ac:dyDescent="0.35">
      <c r="E473">
        <v>0.98636496834850884</v>
      </c>
      <c r="F473">
        <v>1.0096440377432527</v>
      </c>
    </row>
    <row r="474" spans="5:6" x14ac:dyDescent="0.35">
      <c r="E474">
        <v>0.98817137300367808</v>
      </c>
      <c r="F474">
        <v>1.0073254179063504</v>
      </c>
    </row>
    <row r="475" spans="5:6" x14ac:dyDescent="0.35">
      <c r="E475">
        <v>0.9870647124427705</v>
      </c>
      <c r="F475">
        <v>1.001992397893088</v>
      </c>
    </row>
    <row r="476" spans="5:6" x14ac:dyDescent="0.35">
      <c r="E476">
        <v>0.98460085084380666</v>
      </c>
      <c r="F476">
        <v>1.0040875878653348</v>
      </c>
    </row>
    <row r="477" spans="5:6" x14ac:dyDescent="0.35">
      <c r="E477">
        <v>0.98674740451887832</v>
      </c>
      <c r="F477">
        <v>1.0057451124362169</v>
      </c>
    </row>
    <row r="478" spans="5:6" x14ac:dyDescent="0.35">
      <c r="E478">
        <v>0.98513071200850166</v>
      </c>
      <c r="F478">
        <v>1.0047981963719528</v>
      </c>
    </row>
    <row r="479" spans="5:6" x14ac:dyDescent="0.35">
      <c r="E479">
        <v>0.98504558461230041</v>
      </c>
      <c r="F479">
        <v>1.0023492161241736</v>
      </c>
    </row>
    <row r="480" spans="5:6" x14ac:dyDescent="0.35">
      <c r="E480">
        <v>0.98498576862411125</v>
      </c>
      <c r="F480">
        <v>1.0006545957905739</v>
      </c>
    </row>
    <row r="481" spans="5:6" x14ac:dyDescent="0.35">
      <c r="E481">
        <v>0.98547386323801478</v>
      </c>
      <c r="F481">
        <v>1.0074068298768128</v>
      </c>
    </row>
    <row r="482" spans="5:6" x14ac:dyDescent="0.35">
      <c r="E482">
        <v>0.98648683296171291</v>
      </c>
      <c r="F482">
        <v>1.0055881938155962</v>
      </c>
    </row>
    <row r="483" spans="5:6" x14ac:dyDescent="0.35">
      <c r="E483">
        <v>0.98428180823995903</v>
      </c>
      <c r="F483">
        <v>1.0002165582175264</v>
      </c>
    </row>
    <row r="484" spans="5:6" x14ac:dyDescent="0.35">
      <c r="E484">
        <v>0.98804540793089679</v>
      </c>
      <c r="F484">
        <v>1.0035736672465145</v>
      </c>
    </row>
    <row r="485" spans="5:6" x14ac:dyDescent="0.35">
      <c r="E485">
        <v>0.98608952787560633</v>
      </c>
      <c r="F485">
        <v>1.0068965517241379</v>
      </c>
    </row>
    <row r="486" spans="5:6" x14ac:dyDescent="0.35">
      <c r="E486">
        <v>0.98708819299837303</v>
      </c>
      <c r="F486">
        <v>1.0100786595479994</v>
      </c>
    </row>
    <row r="487" spans="5:6" x14ac:dyDescent="0.35">
      <c r="E487">
        <v>0.98777580202228521</v>
      </c>
      <c r="F487">
        <v>1.0025064761070617</v>
      </c>
    </row>
    <row r="488" spans="5:6" x14ac:dyDescent="0.35">
      <c r="E488">
        <v>0.98553436748224088</v>
      </c>
      <c r="F488">
        <v>1.009209586445295</v>
      </c>
    </row>
    <row r="489" spans="5:6" x14ac:dyDescent="0.35">
      <c r="E489">
        <v>0.98646901838669809</v>
      </c>
      <c r="F489">
        <v>1.0014048118395116</v>
      </c>
    </row>
    <row r="490" spans="5:6" x14ac:dyDescent="0.35">
      <c r="E490">
        <v>0.98697908037337789</v>
      </c>
      <c r="F490">
        <v>1.0023093263575815</v>
      </c>
    </row>
    <row r="491" spans="5:6" x14ac:dyDescent="0.35">
      <c r="E491">
        <v>0.98697908037337789</v>
      </c>
      <c r="F491">
        <v>1.0023093263575815</v>
      </c>
    </row>
    <row r="492" spans="5:6" x14ac:dyDescent="0.35">
      <c r="E492">
        <v>0.98540763748927152</v>
      </c>
      <c r="F492">
        <v>1.0020802598545435</v>
      </c>
    </row>
    <row r="493" spans="5:6" x14ac:dyDescent="0.35">
      <c r="E493">
        <v>0.98489688289583344</v>
      </c>
      <c r="F493">
        <v>1.0053523523597909</v>
      </c>
    </row>
    <row r="494" spans="5:6" x14ac:dyDescent="0.35">
      <c r="E494">
        <v>0.98560054093830685</v>
      </c>
      <c r="F494">
        <v>1.0062993594406426</v>
      </c>
    </row>
    <row r="495" spans="5:6" x14ac:dyDescent="0.35">
      <c r="E495">
        <v>0.98687725928459913</v>
      </c>
      <c r="F495">
        <v>1.0062923899617613</v>
      </c>
    </row>
    <row r="496" spans="5:6" x14ac:dyDescent="0.35">
      <c r="E496">
        <v>1.0170366651165821</v>
      </c>
      <c r="F496">
        <v>0.98624718052422811</v>
      </c>
    </row>
    <row r="497" spans="5:6" x14ac:dyDescent="0.35">
      <c r="E497">
        <v>1.0154757400074779</v>
      </c>
      <c r="F497">
        <v>0.98470327448082751</v>
      </c>
    </row>
    <row r="498" spans="5:6" x14ac:dyDescent="0.35">
      <c r="E498">
        <v>1.0183238474762313</v>
      </c>
      <c r="F498">
        <v>0.98914370116997707</v>
      </c>
    </row>
    <row r="499" spans="5:6" x14ac:dyDescent="0.35">
      <c r="E499">
        <v>1.017737447660708</v>
      </c>
      <c r="F499">
        <v>0.98746936476802682</v>
      </c>
    </row>
    <row r="500" spans="5:6" x14ac:dyDescent="0.35">
      <c r="E500">
        <v>1.0153052886406964</v>
      </c>
      <c r="F500">
        <v>0.99074513766102534</v>
      </c>
    </row>
    <row r="501" spans="5:6" x14ac:dyDescent="0.35">
      <c r="E501">
        <v>1.0166662394770838</v>
      </c>
      <c r="F501">
        <v>0.98977680048259353</v>
      </c>
    </row>
    <row r="502" spans="5:6" x14ac:dyDescent="0.35">
      <c r="E502">
        <v>1.0161978557872378</v>
      </c>
      <c r="F502">
        <v>0.98586790986790984</v>
      </c>
    </row>
    <row r="503" spans="5:6" x14ac:dyDescent="0.35">
      <c r="E503">
        <v>1.0166071764674249</v>
      </c>
      <c r="F503">
        <v>0.9884086489849887</v>
      </c>
    </row>
    <row r="504" spans="5:6" x14ac:dyDescent="0.35">
      <c r="E504">
        <v>1.0167494178018857</v>
      </c>
      <c r="F504">
        <v>0.9840857120634674</v>
      </c>
    </row>
    <row r="505" spans="5:6" x14ac:dyDescent="0.35">
      <c r="E505">
        <v>1.0154507633521004</v>
      </c>
      <c r="F505">
        <v>0.9876596654166746</v>
      </c>
    </row>
    <row r="506" spans="5:6" x14ac:dyDescent="0.35">
      <c r="E506">
        <v>1.0107194994786237</v>
      </c>
      <c r="F506">
        <v>0.99767479563800199</v>
      </c>
    </row>
    <row r="507" spans="5:6" x14ac:dyDescent="0.35">
      <c r="E507">
        <v>1.011474216065793</v>
      </c>
      <c r="F507">
        <v>1.0014127810214994</v>
      </c>
    </row>
    <row r="508" spans="5:6" x14ac:dyDescent="0.35">
      <c r="E508">
        <v>1.0104006873389051</v>
      </c>
      <c r="F508">
        <v>0.999087037994978</v>
      </c>
    </row>
    <row r="509" spans="5:6" x14ac:dyDescent="0.35">
      <c r="E509">
        <v>1.0096400012484785</v>
      </c>
      <c r="F509">
        <v>0.99168447586169095</v>
      </c>
    </row>
    <row r="510" spans="5:6" x14ac:dyDescent="0.35">
      <c r="E510">
        <v>1.0102672911447557</v>
      </c>
      <c r="F510">
        <v>1.0006671176757995</v>
      </c>
    </row>
    <row r="511" spans="5:6" x14ac:dyDescent="0.35">
      <c r="E511">
        <v>1.0104755055340215</v>
      </c>
      <c r="F511">
        <v>0.99639695830485309</v>
      </c>
    </row>
    <row r="512" spans="5:6" x14ac:dyDescent="0.35">
      <c r="E512">
        <v>1.0110223355145562</v>
      </c>
      <c r="F512">
        <v>1.0029687281460331</v>
      </c>
    </row>
    <row r="513" spans="5:6" x14ac:dyDescent="0.35">
      <c r="E513">
        <v>1.0077531928181109</v>
      </c>
      <c r="F513">
        <v>0.99363150035618375</v>
      </c>
    </row>
    <row r="514" spans="5:6" x14ac:dyDescent="0.35">
      <c r="E514">
        <v>1.0101294730602441</v>
      </c>
      <c r="F514">
        <v>1.0011939232128755</v>
      </c>
    </row>
    <row r="515" spans="5:6" x14ac:dyDescent="0.35">
      <c r="E515">
        <v>1.0088562382044204</v>
      </c>
      <c r="F515">
        <v>0.99135082720808287</v>
      </c>
    </row>
    <row r="516" spans="5:6" x14ac:dyDescent="0.35">
      <c r="E516">
        <v>1.009803227161685</v>
      </c>
      <c r="F516">
        <v>1.0027892717167166</v>
      </c>
    </row>
    <row r="517" spans="5:6" x14ac:dyDescent="0.35">
      <c r="E517">
        <v>1.0082702408194399</v>
      </c>
      <c r="F517">
        <v>0.99219752579436371</v>
      </c>
    </row>
    <row r="518" spans="5:6" x14ac:dyDescent="0.35">
      <c r="E518">
        <v>1.0099372822299653</v>
      </c>
      <c r="F518">
        <v>0.99937217478653939</v>
      </c>
    </row>
    <row r="519" spans="5:6" x14ac:dyDescent="0.35">
      <c r="E519">
        <v>1.0108428274493257</v>
      </c>
      <c r="F519">
        <v>0.98986437916327208</v>
      </c>
    </row>
    <row r="520" spans="5:6" x14ac:dyDescent="0.35">
      <c r="E520">
        <v>1.0123393130128227</v>
      </c>
      <c r="F520">
        <v>1.000282809295967</v>
      </c>
    </row>
    <row r="521" spans="5:6" x14ac:dyDescent="0.35">
      <c r="E521">
        <v>1.0099132275132277</v>
      </c>
      <c r="F521">
        <v>0.99420528102034955</v>
      </c>
    </row>
    <row r="522" spans="5:6" x14ac:dyDescent="0.35">
      <c r="E522">
        <v>1.0098017391304348</v>
      </c>
      <c r="F522">
        <v>1.0012923886413112</v>
      </c>
    </row>
    <row r="523" spans="5:6" x14ac:dyDescent="0.35">
      <c r="E523">
        <v>1.0077115214386656</v>
      </c>
      <c r="F523">
        <v>0.99354493178486869</v>
      </c>
    </row>
    <row r="524" spans="5:6" x14ac:dyDescent="0.35">
      <c r="E524">
        <v>1.0077801147820691</v>
      </c>
      <c r="F524">
        <v>0.99605781865965837</v>
      </c>
    </row>
    <row r="525" spans="5:6" x14ac:dyDescent="0.35">
      <c r="E525">
        <v>1.0079133839841494</v>
      </c>
      <c r="F525">
        <v>0.99370620140155497</v>
      </c>
    </row>
    <row r="526" spans="5:6" x14ac:dyDescent="0.35">
      <c r="E526">
        <v>1.0099450765250462</v>
      </c>
      <c r="F526">
        <v>0.99394344133611989</v>
      </c>
    </row>
    <row r="527" spans="5:6" x14ac:dyDescent="0.35">
      <c r="E527">
        <v>1.0113571506473678</v>
      </c>
      <c r="F527">
        <v>0.99910932045334988</v>
      </c>
    </row>
    <row r="528" spans="5:6" x14ac:dyDescent="0.35">
      <c r="E528">
        <v>1.0121419822522186</v>
      </c>
      <c r="F528">
        <v>0.99272069875813618</v>
      </c>
    </row>
    <row r="529" spans="5:6" x14ac:dyDescent="0.35">
      <c r="E529">
        <v>1.0142554155148449</v>
      </c>
      <c r="F529">
        <v>1.0017815254782081</v>
      </c>
    </row>
    <row r="530" spans="5:6" x14ac:dyDescent="0.35">
      <c r="E530">
        <v>1.008636912542795</v>
      </c>
      <c r="F530">
        <v>0.99207186170012429</v>
      </c>
    </row>
    <row r="531" spans="5:6" x14ac:dyDescent="0.35">
      <c r="E531">
        <v>1.0107728092543067</v>
      </c>
      <c r="F531">
        <v>1.0013145891204296</v>
      </c>
    </row>
    <row r="532" spans="5:6" x14ac:dyDescent="0.35">
      <c r="E532">
        <v>1.010463347510633</v>
      </c>
      <c r="F532">
        <v>0.99577922077922087</v>
      </c>
    </row>
    <row r="533" spans="5:6" x14ac:dyDescent="0.35">
      <c r="E533">
        <v>1.0076674436258528</v>
      </c>
      <c r="F533">
        <v>1.0090126684694214</v>
      </c>
    </row>
    <row r="534" spans="5:6" x14ac:dyDescent="0.35">
      <c r="E534">
        <v>1.0075973123036979</v>
      </c>
      <c r="F534">
        <v>1.0089569639524074</v>
      </c>
    </row>
    <row r="535" spans="5:6" x14ac:dyDescent="0.35">
      <c r="E535">
        <v>1.0033431902669823</v>
      </c>
      <c r="F535">
        <v>1.000468151970098</v>
      </c>
    </row>
    <row r="536" spans="5:6" x14ac:dyDescent="0.35">
      <c r="E536">
        <v>1.0027276344345308</v>
      </c>
      <c r="F536">
        <v>1.0023181205289831</v>
      </c>
    </row>
    <row r="537" spans="5:6" x14ac:dyDescent="0.35">
      <c r="E537">
        <v>1.0077690883894912</v>
      </c>
      <c r="F537">
        <v>0.99728903486819109</v>
      </c>
    </row>
    <row r="538" spans="5:6" x14ac:dyDescent="0.35">
      <c r="E538">
        <v>1.007607938213176</v>
      </c>
      <c r="F538">
        <v>0.99983232854971649</v>
      </c>
    </row>
    <row r="539" spans="5:6" x14ac:dyDescent="0.35">
      <c r="E539">
        <v>1.0089426029734341</v>
      </c>
      <c r="F539">
        <v>1.0037366481509946</v>
      </c>
    </row>
    <row r="540" spans="5:6" x14ac:dyDescent="0.35">
      <c r="E540">
        <v>1.0032580360690371</v>
      </c>
      <c r="F540">
        <v>0.99510947276405881</v>
      </c>
    </row>
    <row r="541" spans="5:6" x14ac:dyDescent="0.35">
      <c r="E541">
        <v>1.0026764768607379</v>
      </c>
      <c r="F541">
        <v>0.99589097234999902</v>
      </c>
    </row>
    <row r="542" spans="5:6" x14ac:dyDescent="0.35">
      <c r="E542">
        <v>1.0021386665778478</v>
      </c>
      <c r="F542">
        <v>0.99390761791388826</v>
      </c>
    </row>
    <row r="543" spans="5:6" x14ac:dyDescent="0.35">
      <c r="E543">
        <v>1.0091972305389221</v>
      </c>
      <c r="F543">
        <v>0.99828487586006576</v>
      </c>
    </row>
    <row r="544" spans="5:6" x14ac:dyDescent="0.35">
      <c r="E544">
        <v>1.0083947496353913</v>
      </c>
      <c r="F544">
        <v>0.99877389893447954</v>
      </c>
    </row>
    <row r="545" spans="5:6" x14ac:dyDescent="0.35">
      <c r="E545">
        <v>1.0074963708945743</v>
      </c>
      <c r="F545">
        <v>0.99683950153369716</v>
      </c>
    </row>
    <row r="546" spans="5:6" x14ac:dyDescent="0.35">
      <c r="E546">
        <v>1.0100812554574561</v>
      </c>
      <c r="F546">
        <v>1.0073513847822779</v>
      </c>
    </row>
    <row r="547" spans="5:6" x14ac:dyDescent="0.35">
      <c r="E547">
        <v>1.008252746232482</v>
      </c>
      <c r="F547">
        <v>1.0025479482049902</v>
      </c>
    </row>
    <row r="548" spans="5:6" x14ac:dyDescent="0.35">
      <c r="E548">
        <v>1.0075054188105956</v>
      </c>
      <c r="F548">
        <v>1.0037615224625278</v>
      </c>
    </row>
    <row r="549" spans="5:6" x14ac:dyDescent="0.35">
      <c r="E549">
        <v>1.0049720914429938</v>
      </c>
      <c r="F549">
        <v>1.0019126199741886</v>
      </c>
    </row>
    <row r="550" spans="5:6" x14ac:dyDescent="0.35">
      <c r="E550">
        <v>1.0082042837201186</v>
      </c>
      <c r="F550">
        <v>1.0029229122322008</v>
      </c>
    </row>
    <row r="551" spans="5:6" x14ac:dyDescent="0.35">
      <c r="E551">
        <v>1.0070501964503453</v>
      </c>
      <c r="F551">
        <v>1.0031832764357917</v>
      </c>
    </row>
    <row r="552" spans="5:6" x14ac:dyDescent="0.35">
      <c r="E552">
        <v>1.0103539401711894</v>
      </c>
      <c r="F552">
        <v>1.0088235829405214</v>
      </c>
    </row>
    <row r="553" spans="5:6" x14ac:dyDescent="0.35">
      <c r="E553">
        <v>1.0104872973944119</v>
      </c>
      <c r="F553">
        <v>1.0090292837160024</v>
      </c>
    </row>
    <row r="554" spans="5:6" x14ac:dyDescent="0.35">
      <c r="E554">
        <v>1.0076561321575681</v>
      </c>
      <c r="F554">
        <v>1.0040792690666629</v>
      </c>
    </row>
    <row r="555" spans="5:6" x14ac:dyDescent="0.35">
      <c r="E555">
        <v>1.0072653390378876</v>
      </c>
      <c r="F555">
        <v>1.0045108205796236</v>
      </c>
    </row>
    <row r="556" spans="5:6" x14ac:dyDescent="0.35">
      <c r="E556">
        <v>1.0097628606423517</v>
      </c>
      <c r="F556">
        <v>1.007239375052738</v>
      </c>
    </row>
    <row r="557" spans="5:6" x14ac:dyDescent="0.35">
      <c r="E557">
        <v>1.009464962121212</v>
      </c>
      <c r="F557">
        <v>1.0080224064404439</v>
      </c>
    </row>
    <row r="558" spans="5:6" x14ac:dyDescent="0.35">
      <c r="E558">
        <v>1.0098090607326069</v>
      </c>
      <c r="F558">
        <v>1.0090126684694214</v>
      </c>
    </row>
    <row r="559" spans="5:6" x14ac:dyDescent="0.35">
      <c r="E559">
        <v>1.0089342866870956</v>
      </c>
      <c r="F559">
        <v>1.0095365587438083</v>
      </c>
    </row>
    <row r="560" spans="5:6" x14ac:dyDescent="0.35">
      <c r="E560">
        <v>1.0085818269193427</v>
      </c>
      <c r="F560">
        <v>1.0022605889324157</v>
      </c>
    </row>
    <row r="561" spans="5:6" x14ac:dyDescent="0.35">
      <c r="E561">
        <v>1.0074576739050425</v>
      </c>
      <c r="F561">
        <v>1.002954109184141</v>
      </c>
    </row>
    <row r="562" spans="5:6" x14ac:dyDescent="0.35">
      <c r="E562">
        <v>1.0124340780165999</v>
      </c>
      <c r="F562">
        <v>1.0092907580056412</v>
      </c>
    </row>
    <row r="563" spans="5:6" x14ac:dyDescent="0.35">
      <c r="E563">
        <v>1.0117991290146979</v>
      </c>
      <c r="F563">
        <v>1.0102567069919692</v>
      </c>
    </row>
    <row r="564" spans="5:6" x14ac:dyDescent="0.35">
      <c r="E564">
        <v>1.0128102568901782</v>
      </c>
      <c r="F564">
        <v>1.0038788720475531</v>
      </c>
    </row>
    <row r="565" spans="5:6" x14ac:dyDescent="0.35">
      <c r="E565">
        <v>1.004574604428855</v>
      </c>
      <c r="F565">
        <v>1.0024330940624868</v>
      </c>
    </row>
    <row r="566" spans="5:6" x14ac:dyDescent="0.35">
      <c r="E566">
        <v>1.0135736455893833</v>
      </c>
      <c r="F566">
        <v>1.0015555403860266</v>
      </c>
    </row>
    <row r="567" spans="5:6" x14ac:dyDescent="0.35">
      <c r="E567">
        <v>1.0102918126498246</v>
      </c>
      <c r="F567">
        <v>1.0100759945912265</v>
      </c>
    </row>
    <row r="568" spans="5:6" x14ac:dyDescent="0.35">
      <c r="E568">
        <v>0.99739783324996056</v>
      </c>
      <c r="F568">
        <v>0.99158214148241097</v>
      </c>
    </row>
    <row r="569" spans="5:6" x14ac:dyDescent="0.35">
      <c r="E569">
        <v>0.99260724049785143</v>
      </c>
      <c r="F569">
        <v>0.98967432796239008</v>
      </c>
    </row>
    <row r="570" spans="5:6" x14ac:dyDescent="0.35">
      <c r="E570">
        <v>0.99299104152990247</v>
      </c>
      <c r="F570">
        <v>0.98946874384944972</v>
      </c>
    </row>
    <row r="571" spans="5:6" x14ac:dyDescent="0.35">
      <c r="E571">
        <v>0.98989155525103245</v>
      </c>
      <c r="F571">
        <v>0.98505675954592364</v>
      </c>
    </row>
    <row r="572" spans="5:6" x14ac:dyDescent="0.35">
      <c r="E572">
        <v>0.99873042530310396</v>
      </c>
      <c r="F572">
        <v>0.98853014303977127</v>
      </c>
    </row>
    <row r="573" spans="5:6" x14ac:dyDescent="0.35">
      <c r="E573">
        <v>0.99937287846431699</v>
      </c>
      <c r="F573">
        <v>0.99093383364602883</v>
      </c>
    </row>
    <row r="574" spans="5:6" x14ac:dyDescent="0.35">
      <c r="E574">
        <v>0.99456019640146009</v>
      </c>
      <c r="F574">
        <v>0.98764856874612972</v>
      </c>
    </row>
    <row r="575" spans="5:6" x14ac:dyDescent="0.35">
      <c r="E575">
        <v>1.0041202176691444</v>
      </c>
      <c r="F575">
        <v>0.9891826898839472</v>
      </c>
    </row>
    <row r="576" spans="5:6" x14ac:dyDescent="0.35">
      <c r="E576">
        <v>0.99985665576426319</v>
      </c>
      <c r="F576">
        <v>0.99267244820566047</v>
      </c>
    </row>
    <row r="577" spans="5:6" x14ac:dyDescent="0.35">
      <c r="E577">
        <v>0.99866678757942362</v>
      </c>
      <c r="F577">
        <v>1.0034233088632158</v>
      </c>
    </row>
    <row r="578" spans="5:6" x14ac:dyDescent="0.35">
      <c r="E578">
        <v>1.0052190049245926</v>
      </c>
      <c r="F578">
        <v>0.97305390395187308</v>
      </c>
    </row>
    <row r="579" spans="5:6" x14ac:dyDescent="0.35">
      <c r="E579">
        <v>1.0070704311993806</v>
      </c>
      <c r="F579">
        <v>0.97729644013697126</v>
      </c>
    </row>
    <row r="580" spans="5:6" x14ac:dyDescent="0.35">
      <c r="E580">
        <v>1.0056941900075749</v>
      </c>
      <c r="F580">
        <v>0.97773384143068898</v>
      </c>
    </row>
    <row r="581" spans="5:6" x14ac:dyDescent="0.35">
      <c r="E581">
        <v>1.0125318166713926</v>
      </c>
      <c r="F581">
        <v>0.97599515571694817</v>
      </c>
    </row>
    <row r="582" spans="5:6" x14ac:dyDescent="0.35">
      <c r="E582">
        <v>1.0088835703767371</v>
      </c>
      <c r="F582">
        <v>0.9786223767589185</v>
      </c>
    </row>
    <row r="583" spans="5:6" x14ac:dyDescent="0.35">
      <c r="E583">
        <v>1.0066536716179237</v>
      </c>
      <c r="F583">
        <v>0.97357537525841975</v>
      </c>
    </row>
    <row r="584" spans="5:6" x14ac:dyDescent="0.35">
      <c r="E584">
        <v>1.0109364008058812</v>
      </c>
      <c r="F584">
        <v>0.97416396472782485</v>
      </c>
    </row>
    <row r="585" spans="5:6" x14ac:dyDescent="0.35">
      <c r="E585">
        <v>1.0061441386977947</v>
      </c>
      <c r="F585">
        <v>0.97863784276957344</v>
      </c>
    </row>
    <row r="586" spans="5:6" x14ac:dyDescent="0.35">
      <c r="E586">
        <v>1.0052674468349165</v>
      </c>
      <c r="F586">
        <v>0.98010443275006565</v>
      </c>
    </row>
    <row r="587" spans="5:6" x14ac:dyDescent="0.35">
      <c r="E587">
        <v>1.0129154063933989</v>
      </c>
      <c r="F587">
        <v>1.0021404895906663</v>
      </c>
    </row>
    <row r="588" spans="5:6" x14ac:dyDescent="0.35">
      <c r="E588">
        <v>1.0165200042136915</v>
      </c>
      <c r="F588">
        <v>1.0191393404950575</v>
      </c>
    </row>
    <row r="589" spans="5:6" x14ac:dyDescent="0.35">
      <c r="E589">
        <v>1.0111177562561986</v>
      </c>
      <c r="F589">
        <v>1.0240977568658776</v>
      </c>
    </row>
    <row r="590" spans="5:6" x14ac:dyDescent="0.35">
      <c r="E590">
        <v>1.0111177562561986</v>
      </c>
      <c r="F590">
        <v>1.0240977568658776</v>
      </c>
    </row>
    <row r="591" spans="5:6" x14ac:dyDescent="0.35">
      <c r="E591">
        <v>1.0205579405679768</v>
      </c>
      <c r="F591">
        <v>1.0162311535536226</v>
      </c>
    </row>
    <row r="592" spans="5:6" x14ac:dyDescent="0.35">
      <c r="E592">
        <v>1.0185335809060028</v>
      </c>
      <c r="F592">
        <v>1.0181228837049023</v>
      </c>
    </row>
    <row r="593" spans="5:6" x14ac:dyDescent="0.35">
      <c r="E593">
        <v>1.02180371961649</v>
      </c>
      <c r="F593">
        <v>1.0222265875603835</v>
      </c>
    </row>
    <row r="594" spans="5:6" x14ac:dyDescent="0.35">
      <c r="E594">
        <v>1.0151784281624068</v>
      </c>
      <c r="F594">
        <v>1.0187177619884962</v>
      </c>
    </row>
    <row r="595" spans="5:6" x14ac:dyDescent="0.35">
      <c r="E595">
        <v>1.0288485139362304</v>
      </c>
      <c r="F595">
        <v>1.0109905126966552</v>
      </c>
    </row>
    <row r="596" spans="5:6" x14ac:dyDescent="0.35">
      <c r="E596">
        <v>1.0218864210527903</v>
      </c>
      <c r="F596">
        <v>1.012408561032343</v>
      </c>
    </row>
    <row r="597" spans="5:6" x14ac:dyDescent="0.35">
      <c r="E597">
        <v>1.0281177103654908</v>
      </c>
      <c r="F597">
        <v>1.0182272491205526</v>
      </c>
    </row>
    <row r="598" spans="5:6" x14ac:dyDescent="0.35">
      <c r="E598">
        <v>1.0255697154938144</v>
      </c>
      <c r="F598">
        <v>1.018047123020728</v>
      </c>
    </row>
    <row r="599" spans="5:6" x14ac:dyDescent="0.35">
      <c r="E599">
        <v>1.0209527879859603</v>
      </c>
      <c r="F599">
        <v>1.0238863576473356</v>
      </c>
    </row>
    <row r="600" spans="5:6" x14ac:dyDescent="0.35">
      <c r="E600">
        <v>1.0216625270791984</v>
      </c>
      <c r="F600">
        <v>1.0259292184189943</v>
      </c>
    </row>
    <row r="601" spans="5:6" x14ac:dyDescent="0.35">
      <c r="E601">
        <v>1.0296791682692519</v>
      </c>
      <c r="F601">
        <v>1.0093946402988372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AnonDB - Copy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Ghozy Abror</dc:creator>
  <cp:lastModifiedBy>Ghozy Abror Aufan</cp:lastModifiedBy>
  <dcterms:created xsi:type="dcterms:W3CDTF">2026-02-20T18:20:35Z</dcterms:created>
  <dcterms:modified xsi:type="dcterms:W3CDTF">2026-06-09T14:05:36Z</dcterms:modified>
</cp:coreProperties>
</file>